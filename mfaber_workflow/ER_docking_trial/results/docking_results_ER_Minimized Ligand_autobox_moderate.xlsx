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berma\Desktop\AI\ER_Ligand_Prep\Results\"/>
    </mc:Choice>
  </mc:AlternateContent>
  <xr:revisionPtr revIDLastSave="0" documentId="13_ncr:1_{DBC81E74-5CF5-4AC7-AAF9-F621C753724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L70" i="1"/>
  <c r="L71" i="1"/>
  <c r="L95" i="1"/>
  <c r="L98" i="1"/>
  <c r="L99" i="1"/>
  <c r="L116" i="1"/>
  <c r="L146" i="1"/>
  <c r="L147" i="1"/>
  <c r="L149" i="1"/>
  <c r="L150" i="1"/>
  <c r="L212" i="1"/>
  <c r="L243" i="1"/>
  <c r="L337" i="1"/>
  <c r="L339" i="1"/>
  <c r="L343" i="1"/>
  <c r="L347" i="1"/>
  <c r="L356" i="1"/>
  <c r="L365" i="1"/>
  <c r="L387" i="1"/>
  <c r="L401" i="1"/>
  <c r="L402" i="1"/>
  <c r="L403" i="1"/>
  <c r="L426" i="1"/>
  <c r="L444" i="1"/>
  <c r="L445" i="1"/>
  <c r="L453" i="1"/>
  <c r="L457" i="1"/>
  <c r="L462" i="1"/>
  <c r="L472" i="1"/>
  <c r="L501" i="1"/>
  <c r="L519" i="1"/>
  <c r="L542" i="1"/>
  <c r="L545" i="1"/>
  <c r="L560" i="1"/>
  <c r="L563" i="1"/>
  <c r="L567" i="1"/>
  <c r="L611" i="1"/>
  <c r="L630" i="1"/>
  <c r="L642" i="1"/>
  <c r="L643" i="1"/>
  <c r="L651" i="1"/>
  <c r="L652" i="1"/>
  <c r="L655" i="1"/>
  <c r="L670" i="1"/>
  <c r="L681" i="1"/>
  <c r="L761" i="1"/>
  <c r="L783" i="1"/>
  <c r="L787" i="1"/>
  <c r="L805" i="1"/>
  <c r="L820" i="1"/>
  <c r="L853" i="1"/>
  <c r="L868" i="1"/>
  <c r="L906" i="1"/>
  <c r="L907" i="1"/>
  <c r="L925" i="1"/>
  <c r="L934" i="1"/>
  <c r="L959" i="1"/>
  <c r="L960" i="1"/>
  <c r="K13" i="1"/>
  <c r="K17" i="1"/>
  <c r="K57" i="1"/>
  <c r="K70" i="1"/>
  <c r="K79" i="1"/>
  <c r="K102" i="1"/>
  <c r="K123" i="1"/>
  <c r="K124" i="1"/>
  <c r="K164" i="1"/>
  <c r="K167" i="1"/>
  <c r="K168" i="1"/>
  <c r="K171" i="1"/>
  <c r="K211" i="1"/>
  <c r="K233" i="1"/>
  <c r="K268" i="1"/>
  <c r="K299" i="1"/>
  <c r="K365" i="1"/>
  <c r="K380" i="1"/>
  <c r="K381" i="1"/>
  <c r="K391" i="1"/>
  <c r="K414" i="1"/>
  <c r="K416" i="1"/>
  <c r="K417" i="1"/>
  <c r="K435" i="1"/>
  <c r="K453" i="1"/>
  <c r="K457" i="1"/>
  <c r="K472" i="1"/>
  <c r="K497" i="1"/>
  <c r="K519" i="1"/>
  <c r="K523" i="1"/>
  <c r="K538" i="1"/>
  <c r="K559" i="1"/>
  <c r="K561" i="1"/>
  <c r="K576" i="1"/>
  <c r="K577" i="1"/>
  <c r="K578" i="1"/>
  <c r="K585" i="1"/>
  <c r="K589" i="1"/>
  <c r="K607" i="1"/>
  <c r="K608" i="1"/>
  <c r="K611" i="1"/>
  <c r="K629" i="1"/>
  <c r="K642" i="1"/>
  <c r="K643" i="1"/>
  <c r="K644" i="1"/>
  <c r="K651" i="1"/>
  <c r="K674" i="1"/>
  <c r="K677" i="1"/>
  <c r="K695" i="1"/>
  <c r="K736" i="1"/>
  <c r="K739" i="1"/>
  <c r="K747" i="1"/>
  <c r="K761" i="1"/>
  <c r="K764" i="1"/>
  <c r="K783" i="1"/>
  <c r="K784" i="1"/>
  <c r="K809" i="1"/>
  <c r="K831" i="1"/>
  <c r="K832" i="1"/>
  <c r="K884" i="1"/>
  <c r="K915" i="1"/>
  <c r="K937" i="1"/>
  <c r="K941" i="1"/>
  <c r="K944" i="1"/>
  <c r="K956" i="1"/>
  <c r="B3" i="1"/>
  <c r="B4" i="1"/>
  <c r="L4" i="1" s="1"/>
  <c r="B5" i="1"/>
  <c r="L5" i="1" s="1"/>
  <c r="B6" i="1"/>
  <c r="K6" i="1" s="1"/>
  <c r="B7" i="1"/>
  <c r="K7" i="1" s="1"/>
  <c r="B8" i="1"/>
  <c r="B9" i="1"/>
  <c r="K9" i="1" s="1"/>
  <c r="B10" i="1"/>
  <c r="L10" i="1" s="1"/>
  <c r="B11" i="1"/>
  <c r="K11" i="1" s="1"/>
  <c r="B12" i="1"/>
  <c r="L12" i="1" s="1"/>
  <c r="B13" i="1"/>
  <c r="L13" i="1" s="1"/>
  <c r="B14" i="1"/>
  <c r="L14" i="1" s="1"/>
  <c r="B15" i="1"/>
  <c r="B16" i="1"/>
  <c r="L16" i="1" s="1"/>
  <c r="B17" i="1"/>
  <c r="L17" i="1" s="1"/>
  <c r="B18" i="1"/>
  <c r="B19" i="1"/>
  <c r="L19" i="1" s="1"/>
  <c r="B20" i="1"/>
  <c r="B21" i="1"/>
  <c r="B22" i="1"/>
  <c r="L22" i="1" s="1"/>
  <c r="B23" i="1"/>
  <c r="L23" i="1" s="1"/>
  <c r="B24" i="1"/>
  <c r="B25" i="1"/>
  <c r="B26" i="1"/>
  <c r="L26" i="1" s="1"/>
  <c r="B27" i="1"/>
  <c r="B28" i="1"/>
  <c r="B29" i="1"/>
  <c r="B30" i="1"/>
  <c r="B31" i="1"/>
  <c r="B32" i="1"/>
  <c r="B33" i="1"/>
  <c r="B34" i="1"/>
  <c r="B35" i="1"/>
  <c r="B36" i="1"/>
  <c r="K36" i="1" s="1"/>
  <c r="B37" i="1"/>
  <c r="B38" i="1"/>
  <c r="B39" i="1"/>
  <c r="B40" i="1"/>
  <c r="K40" i="1" s="1"/>
  <c r="B41" i="1"/>
  <c r="B42" i="1"/>
  <c r="B43" i="1"/>
  <c r="K43" i="1" s="1"/>
  <c r="B44" i="1"/>
  <c r="K44" i="1" s="1"/>
  <c r="B45" i="1"/>
  <c r="B46" i="1"/>
  <c r="B47" i="1"/>
  <c r="B48" i="1"/>
  <c r="B49" i="1"/>
  <c r="B50" i="1"/>
  <c r="K50" i="1" s="1"/>
  <c r="B51" i="1"/>
  <c r="K51" i="1" s="1"/>
  <c r="B52" i="1"/>
  <c r="K52" i="1" s="1"/>
  <c r="B53" i="1"/>
  <c r="B54" i="1"/>
  <c r="L54" i="1" s="1"/>
  <c r="B55" i="1"/>
  <c r="L55" i="1" s="1"/>
  <c r="B56" i="1"/>
  <c r="L56" i="1" s="1"/>
  <c r="B57" i="1"/>
  <c r="L57" i="1" s="1"/>
  <c r="B58" i="1"/>
  <c r="L58" i="1" s="1"/>
  <c r="B59" i="1"/>
  <c r="B60" i="1"/>
  <c r="B61" i="1"/>
  <c r="K61" i="1" s="1"/>
  <c r="B62" i="1"/>
  <c r="K62" i="1" s="1"/>
  <c r="B63" i="1"/>
  <c r="K63" i="1" s="1"/>
  <c r="B64" i="1"/>
  <c r="L64" i="1" s="1"/>
  <c r="B65" i="1"/>
  <c r="L65" i="1" s="1"/>
  <c r="B66" i="1"/>
  <c r="L66" i="1" s="1"/>
  <c r="B67" i="1"/>
  <c r="B68" i="1"/>
  <c r="B69" i="1"/>
  <c r="B70" i="1"/>
  <c r="B71" i="1"/>
  <c r="K71" i="1" s="1"/>
  <c r="B72" i="1"/>
  <c r="B73" i="1"/>
  <c r="K73" i="1" s="1"/>
  <c r="B74" i="1"/>
  <c r="B75" i="1"/>
  <c r="L75" i="1" s="1"/>
  <c r="B76" i="1"/>
  <c r="B77" i="1"/>
  <c r="B78" i="1"/>
  <c r="L78" i="1" s="1"/>
  <c r="B79" i="1"/>
  <c r="L79" i="1" s="1"/>
  <c r="B80" i="1"/>
  <c r="L80" i="1" s="1"/>
  <c r="B81" i="1"/>
  <c r="L81" i="1" s="1"/>
  <c r="B82" i="1"/>
  <c r="B83" i="1"/>
  <c r="B84" i="1"/>
  <c r="K84" i="1" s="1"/>
  <c r="B85" i="1"/>
  <c r="L85" i="1" s="1"/>
  <c r="B86" i="1"/>
  <c r="B87" i="1"/>
  <c r="B88" i="1"/>
  <c r="K88" i="1" s="1"/>
  <c r="B89" i="1"/>
  <c r="B90" i="1"/>
  <c r="B91" i="1"/>
  <c r="K91" i="1" s="1"/>
  <c r="B92" i="1"/>
  <c r="B93" i="1"/>
  <c r="B94" i="1"/>
  <c r="B95" i="1"/>
  <c r="K95" i="1" s="1"/>
  <c r="B96" i="1"/>
  <c r="K96" i="1" s="1"/>
  <c r="B97" i="1"/>
  <c r="K97" i="1" s="1"/>
  <c r="B98" i="1"/>
  <c r="K98" i="1" s="1"/>
  <c r="B99" i="1"/>
  <c r="K99" i="1" s="1"/>
  <c r="B100" i="1"/>
  <c r="L100" i="1" s="1"/>
  <c r="B101" i="1"/>
  <c r="L101" i="1" s="1"/>
  <c r="B102" i="1"/>
  <c r="L102" i="1" s="1"/>
  <c r="B103" i="1"/>
  <c r="L103" i="1" s="1"/>
  <c r="B104" i="1"/>
  <c r="L104" i="1" s="1"/>
  <c r="B105" i="1"/>
  <c r="L105" i="1" s="1"/>
  <c r="B106" i="1"/>
  <c r="B107" i="1"/>
  <c r="B108" i="1"/>
  <c r="K108" i="1" s="1"/>
  <c r="B109" i="1"/>
  <c r="B110" i="1"/>
  <c r="L110" i="1" s="1"/>
  <c r="B111" i="1"/>
  <c r="L111" i="1" s="1"/>
  <c r="B112" i="1"/>
  <c r="L112" i="1" s="1"/>
  <c r="B113" i="1"/>
  <c r="B114" i="1"/>
  <c r="B115" i="1"/>
  <c r="L115" i="1" s="1"/>
  <c r="B116" i="1"/>
  <c r="K116" i="1" s="1"/>
  <c r="B117" i="1"/>
  <c r="K117" i="1" s="1"/>
  <c r="B118" i="1"/>
  <c r="B119" i="1"/>
  <c r="K119" i="1" s="1"/>
  <c r="B120" i="1"/>
  <c r="B121" i="1"/>
  <c r="K121" i="1" s="1"/>
  <c r="B122" i="1"/>
  <c r="B123" i="1"/>
  <c r="L123" i="1" s="1"/>
  <c r="B124" i="1"/>
  <c r="L124" i="1" s="1"/>
  <c r="B125" i="1"/>
  <c r="B126" i="1"/>
  <c r="L126" i="1" s="1"/>
  <c r="B127" i="1"/>
  <c r="K127" i="1" s="1"/>
  <c r="B128" i="1"/>
  <c r="K128" i="1" s="1"/>
  <c r="B129" i="1"/>
  <c r="L129" i="1" s="1"/>
  <c r="B130" i="1"/>
  <c r="B131" i="1"/>
  <c r="B132" i="1"/>
  <c r="B133" i="1"/>
  <c r="B134" i="1"/>
  <c r="L134" i="1" s="1"/>
  <c r="B135" i="1"/>
  <c r="B136" i="1"/>
  <c r="B137" i="1"/>
  <c r="B138" i="1"/>
  <c r="B139" i="1"/>
  <c r="B140" i="1"/>
  <c r="K140" i="1" s="1"/>
  <c r="B141" i="1"/>
  <c r="L141" i="1" s="1"/>
  <c r="B142" i="1"/>
  <c r="K142" i="1" s="1"/>
  <c r="B143" i="1"/>
  <c r="L143" i="1" s="1"/>
  <c r="B144" i="1"/>
  <c r="L144" i="1" s="1"/>
  <c r="B145" i="1"/>
  <c r="B146" i="1"/>
  <c r="K146" i="1" s="1"/>
  <c r="B147" i="1"/>
  <c r="K147" i="1" s="1"/>
  <c r="B148" i="1"/>
  <c r="B149" i="1"/>
  <c r="K149" i="1" s="1"/>
  <c r="B150" i="1"/>
  <c r="K150" i="1" s="1"/>
  <c r="B151" i="1"/>
  <c r="K151" i="1" s="1"/>
  <c r="B152" i="1"/>
  <c r="B153" i="1"/>
  <c r="B154" i="1"/>
  <c r="B155" i="1"/>
  <c r="B156" i="1"/>
  <c r="B157" i="1"/>
  <c r="L157" i="1" s="1"/>
  <c r="B158" i="1"/>
  <c r="B159" i="1"/>
  <c r="L159" i="1" s="1"/>
  <c r="B160" i="1"/>
  <c r="L160" i="1" s="1"/>
  <c r="B161" i="1"/>
  <c r="K161" i="1" s="1"/>
  <c r="B162" i="1"/>
  <c r="B163" i="1"/>
  <c r="K163" i="1" s="1"/>
  <c r="B164" i="1"/>
  <c r="L164" i="1" s="1"/>
  <c r="B165" i="1"/>
  <c r="B166" i="1"/>
  <c r="B167" i="1"/>
  <c r="L167" i="1" s="1"/>
  <c r="B168" i="1"/>
  <c r="L168" i="1" s="1"/>
  <c r="B169" i="1"/>
  <c r="B170" i="1"/>
  <c r="K170" i="1" s="1"/>
  <c r="B171" i="1"/>
  <c r="L171" i="1" s="1"/>
  <c r="B172" i="1"/>
  <c r="B173" i="1"/>
  <c r="K173" i="1" s="1"/>
  <c r="B174" i="1"/>
  <c r="L174" i="1" s="1"/>
  <c r="B175" i="1"/>
  <c r="B176" i="1"/>
  <c r="B177" i="1"/>
  <c r="B178" i="1"/>
  <c r="L178" i="1" s="1"/>
  <c r="B179" i="1"/>
  <c r="B180" i="1"/>
  <c r="B181" i="1"/>
  <c r="L181" i="1" s="1"/>
  <c r="B182" i="1"/>
  <c r="L182" i="1" s="1"/>
  <c r="B183" i="1"/>
  <c r="L183" i="1" s="1"/>
  <c r="B184" i="1"/>
  <c r="K184" i="1" s="1"/>
  <c r="B185" i="1"/>
  <c r="K185" i="1" s="1"/>
  <c r="B186" i="1"/>
  <c r="B187" i="1"/>
  <c r="B188" i="1"/>
  <c r="B189" i="1"/>
  <c r="L189" i="1" s="1"/>
  <c r="B190" i="1"/>
  <c r="K190" i="1" s="1"/>
  <c r="B191" i="1"/>
  <c r="B192" i="1"/>
  <c r="B193" i="1"/>
  <c r="K193" i="1" s="1"/>
  <c r="B194" i="1"/>
  <c r="B195" i="1"/>
  <c r="B196" i="1"/>
  <c r="B197" i="1"/>
  <c r="B198" i="1"/>
  <c r="B199" i="1"/>
  <c r="B200" i="1"/>
  <c r="L200" i="1" s="1"/>
  <c r="B201" i="1"/>
  <c r="L201" i="1" s="1"/>
  <c r="B202" i="1"/>
  <c r="B203" i="1"/>
  <c r="K203" i="1" s="1"/>
  <c r="B204" i="1"/>
  <c r="K204" i="1" s="1"/>
  <c r="B205" i="1"/>
  <c r="L205" i="1" s="1"/>
  <c r="B206" i="1"/>
  <c r="K206" i="1" s="1"/>
  <c r="B207" i="1"/>
  <c r="L207" i="1" s="1"/>
  <c r="B208" i="1"/>
  <c r="B209" i="1"/>
  <c r="B210" i="1"/>
  <c r="B211" i="1"/>
  <c r="L211" i="1" s="1"/>
  <c r="B212" i="1"/>
  <c r="K212" i="1" s="1"/>
  <c r="B213" i="1"/>
  <c r="B214" i="1"/>
  <c r="B215" i="1"/>
  <c r="B216" i="1"/>
  <c r="K216" i="1" s="1"/>
  <c r="B217" i="1"/>
  <c r="B218" i="1"/>
  <c r="B219" i="1"/>
  <c r="K219" i="1" s="1"/>
  <c r="B220" i="1"/>
  <c r="K220" i="1" s="1"/>
  <c r="B221" i="1"/>
  <c r="K221" i="1" s="1"/>
  <c r="B222" i="1"/>
  <c r="L222" i="1" s="1"/>
  <c r="B223" i="1"/>
  <c r="K223" i="1" s="1"/>
  <c r="B224" i="1"/>
  <c r="B225" i="1"/>
  <c r="B226" i="1"/>
  <c r="L226" i="1" s="1"/>
  <c r="B227" i="1"/>
  <c r="L227" i="1" s="1"/>
  <c r="B228" i="1"/>
  <c r="B229" i="1"/>
  <c r="B230" i="1"/>
  <c r="B231" i="1"/>
  <c r="B232" i="1"/>
  <c r="B233" i="1"/>
  <c r="L233" i="1" s="1"/>
  <c r="B234" i="1"/>
  <c r="B235" i="1"/>
  <c r="L235" i="1" s="1"/>
  <c r="B236" i="1"/>
  <c r="B237" i="1"/>
  <c r="B238" i="1"/>
  <c r="K238" i="1" s="1"/>
  <c r="B239" i="1"/>
  <c r="K239" i="1" s="1"/>
  <c r="B240" i="1"/>
  <c r="B241" i="1"/>
  <c r="B242" i="1"/>
  <c r="B243" i="1"/>
  <c r="K243" i="1" s="1"/>
  <c r="B244" i="1"/>
  <c r="B245" i="1"/>
  <c r="K245" i="1" s="1"/>
  <c r="B246" i="1"/>
  <c r="B247" i="1"/>
  <c r="B248" i="1"/>
  <c r="K248" i="1" s="1"/>
  <c r="B249" i="1"/>
  <c r="K249" i="1" s="1"/>
  <c r="B250" i="1"/>
  <c r="K250" i="1" s="1"/>
  <c r="B251" i="1"/>
  <c r="L251" i="1" s="1"/>
  <c r="B252" i="1"/>
  <c r="B253" i="1"/>
  <c r="K253" i="1" s="1"/>
  <c r="B254" i="1"/>
  <c r="L254" i="1" s="1"/>
  <c r="B255" i="1"/>
  <c r="L255" i="1" s="1"/>
  <c r="B256" i="1"/>
  <c r="L256" i="1" s="1"/>
  <c r="B257" i="1"/>
  <c r="B258" i="1"/>
  <c r="L258" i="1" s="1"/>
  <c r="B259" i="1"/>
  <c r="L259" i="1" s="1"/>
  <c r="B260" i="1"/>
  <c r="K260" i="1" s="1"/>
  <c r="B261" i="1"/>
  <c r="L261" i="1" s="1"/>
  <c r="B262" i="1"/>
  <c r="B263" i="1"/>
  <c r="B264" i="1"/>
  <c r="B265" i="1"/>
  <c r="B266" i="1"/>
  <c r="B267" i="1"/>
  <c r="B268" i="1"/>
  <c r="L268" i="1" s="1"/>
  <c r="B269" i="1"/>
  <c r="L269" i="1" s="1"/>
  <c r="B270" i="1"/>
  <c r="K270" i="1" s="1"/>
  <c r="B271" i="1"/>
  <c r="K271" i="1" s="1"/>
  <c r="B272" i="1"/>
  <c r="K272" i="1" s="1"/>
  <c r="B273" i="1"/>
  <c r="B274" i="1"/>
  <c r="K274" i="1" s="1"/>
  <c r="B275" i="1"/>
  <c r="L275" i="1" s="1"/>
  <c r="B276" i="1"/>
  <c r="L276" i="1" s="1"/>
  <c r="B277" i="1"/>
  <c r="B278" i="1"/>
  <c r="K278" i="1" s="1"/>
  <c r="B279" i="1"/>
  <c r="B280" i="1"/>
  <c r="L280" i="1" s="1"/>
  <c r="B281" i="1"/>
  <c r="L281" i="1" s="1"/>
  <c r="B282" i="1"/>
  <c r="B283" i="1"/>
  <c r="L283" i="1" s="1"/>
  <c r="B284" i="1"/>
  <c r="B285" i="1"/>
  <c r="L285" i="1" s="1"/>
  <c r="B286" i="1"/>
  <c r="K286" i="1" s="1"/>
  <c r="B287" i="1"/>
  <c r="K287" i="1" s="1"/>
  <c r="B288" i="1"/>
  <c r="L288" i="1" s="1"/>
  <c r="B289" i="1"/>
  <c r="B290" i="1"/>
  <c r="B291" i="1"/>
  <c r="B292" i="1"/>
  <c r="L292" i="1" s="1"/>
  <c r="B293" i="1"/>
  <c r="L293" i="1" s="1"/>
  <c r="B294" i="1"/>
  <c r="K294" i="1" s="1"/>
  <c r="B295" i="1"/>
  <c r="B296" i="1"/>
  <c r="B297" i="1"/>
  <c r="K297" i="1" s="1"/>
  <c r="B298" i="1"/>
  <c r="L298" i="1" s="1"/>
  <c r="B299" i="1"/>
  <c r="L299" i="1" s="1"/>
  <c r="B300" i="1"/>
  <c r="K300" i="1" s="1"/>
  <c r="B301" i="1"/>
  <c r="K301" i="1" s="1"/>
  <c r="B302" i="1"/>
  <c r="L302" i="1" s="1"/>
  <c r="B303" i="1"/>
  <c r="K303" i="1" s="1"/>
  <c r="B304" i="1"/>
  <c r="K304" i="1" s="1"/>
  <c r="B305" i="1"/>
  <c r="K305" i="1" s="1"/>
  <c r="B306" i="1"/>
  <c r="B307" i="1"/>
  <c r="B308" i="1"/>
  <c r="B309" i="1"/>
  <c r="B310" i="1"/>
  <c r="L310" i="1" s="1"/>
  <c r="B311" i="1"/>
  <c r="L311" i="1" s="1"/>
  <c r="B312" i="1"/>
  <c r="L312" i="1" s="1"/>
  <c r="B313" i="1"/>
  <c r="B314" i="1"/>
  <c r="K314" i="1" s="1"/>
  <c r="B315" i="1"/>
  <c r="K315" i="1" s="1"/>
  <c r="B316" i="1"/>
  <c r="B317" i="1"/>
  <c r="B318" i="1"/>
  <c r="B319" i="1"/>
  <c r="B320" i="1"/>
  <c r="L320" i="1" s="1"/>
  <c r="B321" i="1"/>
  <c r="L321" i="1" s="1"/>
  <c r="B322" i="1"/>
  <c r="K322" i="1" s="1"/>
  <c r="B323" i="1"/>
  <c r="L323" i="1" s="1"/>
  <c r="B324" i="1"/>
  <c r="B325" i="1"/>
  <c r="K325" i="1" s="1"/>
  <c r="B326" i="1"/>
  <c r="K326" i="1" s="1"/>
  <c r="B327" i="1"/>
  <c r="K327" i="1" s="1"/>
  <c r="B328" i="1"/>
  <c r="B329" i="1"/>
  <c r="B330" i="1"/>
  <c r="B331" i="1"/>
  <c r="B332" i="1"/>
  <c r="B333" i="1"/>
  <c r="B334" i="1"/>
  <c r="L334" i="1" s="1"/>
  <c r="B335" i="1"/>
  <c r="L335" i="1" s="1"/>
  <c r="B336" i="1"/>
  <c r="B337" i="1"/>
  <c r="K337" i="1" s="1"/>
  <c r="B338" i="1"/>
  <c r="B339" i="1"/>
  <c r="K339" i="1" s="1"/>
  <c r="B340" i="1"/>
  <c r="K340" i="1" s="1"/>
  <c r="B341" i="1"/>
  <c r="K341" i="1" s="1"/>
  <c r="B342" i="1"/>
  <c r="L342" i="1" s="1"/>
  <c r="B343" i="1"/>
  <c r="K343" i="1" s="1"/>
  <c r="B344" i="1"/>
  <c r="B345" i="1"/>
  <c r="K345" i="1" s="1"/>
  <c r="B346" i="1"/>
  <c r="B347" i="1"/>
  <c r="K347" i="1" s="1"/>
  <c r="B348" i="1"/>
  <c r="K348" i="1" s="1"/>
  <c r="B349" i="1"/>
  <c r="K349" i="1" s="1"/>
  <c r="B350" i="1"/>
  <c r="K350" i="1" s="1"/>
  <c r="B351" i="1"/>
  <c r="B352" i="1"/>
  <c r="L352" i="1" s="1"/>
  <c r="B353" i="1"/>
  <c r="L353" i="1" s="1"/>
  <c r="B354" i="1"/>
  <c r="L354" i="1" s="1"/>
  <c r="B355" i="1"/>
  <c r="L355" i="1" s="1"/>
  <c r="B356" i="1"/>
  <c r="K356" i="1" s="1"/>
  <c r="B357" i="1"/>
  <c r="L357" i="1" s="1"/>
  <c r="B358" i="1"/>
  <c r="L358" i="1" s="1"/>
  <c r="B359" i="1"/>
  <c r="L359" i="1" s="1"/>
  <c r="B360" i="1"/>
  <c r="B361" i="1"/>
  <c r="L361" i="1" s="1"/>
  <c r="B362" i="1"/>
  <c r="L362" i="1" s="1"/>
  <c r="B363" i="1"/>
  <c r="B364" i="1"/>
  <c r="B365" i="1"/>
  <c r="B366" i="1"/>
  <c r="L366" i="1" s="1"/>
  <c r="B367" i="1"/>
  <c r="K367" i="1" s="1"/>
  <c r="B368" i="1"/>
  <c r="L368" i="1" s="1"/>
  <c r="B369" i="1"/>
  <c r="K369" i="1" s="1"/>
  <c r="B370" i="1"/>
  <c r="K370" i="1" s="1"/>
  <c r="B371" i="1"/>
  <c r="K371" i="1" s="1"/>
  <c r="B372" i="1"/>
  <c r="L372" i="1" s="1"/>
  <c r="B373" i="1"/>
  <c r="B374" i="1"/>
  <c r="B375" i="1"/>
  <c r="B376" i="1"/>
  <c r="L376" i="1" s="1"/>
  <c r="B377" i="1"/>
  <c r="K377" i="1" s="1"/>
  <c r="B378" i="1"/>
  <c r="B379" i="1"/>
  <c r="B380" i="1"/>
  <c r="L380" i="1" s="1"/>
  <c r="B381" i="1"/>
  <c r="L381" i="1" s="1"/>
  <c r="B382" i="1"/>
  <c r="K382" i="1" s="1"/>
  <c r="B383" i="1"/>
  <c r="L383" i="1" s="1"/>
  <c r="B384" i="1"/>
  <c r="B385" i="1"/>
  <c r="K385" i="1" s="1"/>
  <c r="B386" i="1"/>
  <c r="B387" i="1"/>
  <c r="K387" i="1" s="1"/>
  <c r="B388" i="1"/>
  <c r="K388" i="1" s="1"/>
  <c r="B389" i="1"/>
  <c r="K389" i="1" s="1"/>
  <c r="B390" i="1"/>
  <c r="L390" i="1" s="1"/>
  <c r="B391" i="1"/>
  <c r="L391" i="1" s="1"/>
  <c r="B392" i="1"/>
  <c r="L392" i="1" s="1"/>
  <c r="B393" i="1"/>
  <c r="L393" i="1" s="1"/>
  <c r="B394" i="1"/>
  <c r="B395" i="1"/>
  <c r="B396" i="1"/>
  <c r="B397" i="1"/>
  <c r="B398" i="1"/>
  <c r="B399" i="1"/>
  <c r="B400" i="1"/>
  <c r="B401" i="1"/>
  <c r="K401" i="1" s="1"/>
  <c r="B402" i="1"/>
  <c r="K402" i="1" s="1"/>
  <c r="B403" i="1"/>
  <c r="K403" i="1" s="1"/>
  <c r="B404" i="1"/>
  <c r="B405" i="1"/>
  <c r="L405" i="1" s="1"/>
  <c r="B406" i="1"/>
  <c r="B407" i="1"/>
  <c r="B408" i="1"/>
  <c r="B409" i="1"/>
  <c r="B410" i="1"/>
  <c r="B411" i="1"/>
  <c r="B412" i="1"/>
  <c r="L412" i="1" s="1"/>
  <c r="B413" i="1"/>
  <c r="B414" i="1"/>
  <c r="L414" i="1" s="1"/>
  <c r="B415" i="1"/>
  <c r="K415" i="1" s="1"/>
  <c r="B416" i="1"/>
  <c r="L416" i="1" s="1"/>
  <c r="B417" i="1"/>
  <c r="L417" i="1" s="1"/>
  <c r="B418" i="1"/>
  <c r="B419" i="1"/>
  <c r="B420" i="1"/>
  <c r="L420" i="1" s="1"/>
  <c r="B421" i="1"/>
  <c r="L421" i="1" s="1"/>
  <c r="B422" i="1"/>
  <c r="B423" i="1"/>
  <c r="B424" i="1"/>
  <c r="B425" i="1"/>
  <c r="L425" i="1" s="1"/>
  <c r="B426" i="1"/>
  <c r="K426" i="1" s="1"/>
  <c r="B427" i="1"/>
  <c r="L427" i="1" s="1"/>
  <c r="B428" i="1"/>
  <c r="L428" i="1" s="1"/>
  <c r="B429" i="1"/>
  <c r="B430" i="1"/>
  <c r="B431" i="1"/>
  <c r="L431" i="1" s="1"/>
  <c r="B432" i="1"/>
  <c r="K432" i="1" s="1"/>
  <c r="B433" i="1"/>
  <c r="K433" i="1" s="1"/>
  <c r="B434" i="1"/>
  <c r="B435" i="1"/>
  <c r="L435" i="1" s="1"/>
  <c r="B436" i="1"/>
  <c r="L436" i="1" s="1"/>
  <c r="B437" i="1"/>
  <c r="L437" i="1" s="1"/>
  <c r="B438" i="1"/>
  <c r="L438" i="1" s="1"/>
  <c r="B439" i="1"/>
  <c r="L439" i="1" s="1"/>
  <c r="B440" i="1"/>
  <c r="L440" i="1" s="1"/>
  <c r="B441" i="1"/>
  <c r="B442" i="1"/>
  <c r="B443" i="1"/>
  <c r="B444" i="1"/>
  <c r="K444" i="1" s="1"/>
  <c r="B445" i="1"/>
  <c r="K445" i="1" s="1"/>
  <c r="B446" i="1"/>
  <c r="B447" i="1"/>
  <c r="L447" i="1" s="1"/>
  <c r="B448" i="1"/>
  <c r="B449" i="1"/>
  <c r="B450" i="1"/>
  <c r="K450" i="1" s="1"/>
  <c r="B451" i="1"/>
  <c r="K451" i="1" s="1"/>
  <c r="B452" i="1"/>
  <c r="L452" i="1" s="1"/>
  <c r="B453" i="1"/>
  <c r="B454" i="1"/>
  <c r="L454" i="1" s="1"/>
  <c r="B455" i="1"/>
  <c r="B456" i="1"/>
  <c r="B457" i="1"/>
  <c r="B458" i="1"/>
  <c r="K458" i="1" s="1"/>
  <c r="B459" i="1"/>
  <c r="K459" i="1" s="1"/>
  <c r="B460" i="1"/>
  <c r="L460" i="1" s="1"/>
  <c r="B461" i="1"/>
  <c r="B462" i="1"/>
  <c r="K462" i="1" s="1"/>
  <c r="B463" i="1"/>
  <c r="L463" i="1" s="1"/>
  <c r="B464" i="1"/>
  <c r="L464" i="1" s="1"/>
  <c r="B465" i="1"/>
  <c r="B466" i="1"/>
  <c r="B467" i="1"/>
  <c r="L467" i="1" s="1"/>
  <c r="B468" i="1"/>
  <c r="K468" i="1" s="1"/>
  <c r="B469" i="1"/>
  <c r="K469" i="1" s="1"/>
  <c r="B470" i="1"/>
  <c r="K470" i="1" s="1"/>
  <c r="B471" i="1"/>
  <c r="K471" i="1" s="1"/>
  <c r="B472" i="1"/>
  <c r="B473" i="1"/>
  <c r="B474" i="1"/>
  <c r="L474" i="1" s="1"/>
  <c r="B475" i="1"/>
  <c r="K475" i="1" s="1"/>
  <c r="B476" i="1"/>
  <c r="K476" i="1" s="1"/>
  <c r="B477" i="1"/>
  <c r="K477" i="1" s="1"/>
  <c r="B478" i="1"/>
  <c r="B479" i="1"/>
  <c r="B480" i="1"/>
  <c r="B481" i="1"/>
  <c r="K481" i="1" s="1"/>
  <c r="B482" i="1"/>
  <c r="B483" i="1"/>
  <c r="B484" i="1"/>
  <c r="B485" i="1"/>
  <c r="B486" i="1"/>
  <c r="L486" i="1" s="1"/>
  <c r="B487" i="1"/>
  <c r="L487" i="1" s="1"/>
  <c r="B488" i="1"/>
  <c r="B489" i="1"/>
  <c r="B490" i="1"/>
  <c r="K490" i="1" s="1"/>
  <c r="B491" i="1"/>
  <c r="K491" i="1" s="1"/>
  <c r="B492" i="1"/>
  <c r="K492" i="1" s="1"/>
  <c r="B493" i="1"/>
  <c r="L493" i="1" s="1"/>
  <c r="B494" i="1"/>
  <c r="B495" i="1"/>
  <c r="B496" i="1"/>
  <c r="B497" i="1"/>
  <c r="L497" i="1" s="1"/>
  <c r="B498" i="1"/>
  <c r="L498" i="1" s="1"/>
  <c r="B499" i="1"/>
  <c r="L499" i="1" s="1"/>
  <c r="B500" i="1"/>
  <c r="B501" i="1"/>
  <c r="K501" i="1" s="1"/>
  <c r="B502" i="1"/>
  <c r="B503" i="1"/>
  <c r="B504" i="1"/>
  <c r="K504" i="1" s="1"/>
  <c r="B505" i="1"/>
  <c r="K505" i="1" s="1"/>
  <c r="B506" i="1"/>
  <c r="K506" i="1" s="1"/>
  <c r="B507" i="1"/>
  <c r="L507" i="1" s="1"/>
  <c r="B508" i="1"/>
  <c r="L508" i="1" s="1"/>
  <c r="B509" i="1"/>
  <c r="L509" i="1" s="1"/>
  <c r="B510" i="1"/>
  <c r="K510" i="1" s="1"/>
  <c r="B511" i="1"/>
  <c r="B512" i="1"/>
  <c r="B513" i="1"/>
  <c r="L513" i="1" s="1"/>
  <c r="B514" i="1"/>
  <c r="B515" i="1"/>
  <c r="K515" i="1" s="1"/>
  <c r="B516" i="1"/>
  <c r="B517" i="1"/>
  <c r="L517" i="1" s="1"/>
  <c r="B518" i="1"/>
  <c r="L518" i="1" s="1"/>
  <c r="B519" i="1"/>
  <c r="B520" i="1"/>
  <c r="L520" i="1" s="1"/>
  <c r="B521" i="1"/>
  <c r="L521" i="1" s="1"/>
  <c r="B522" i="1"/>
  <c r="K522" i="1" s="1"/>
  <c r="B523" i="1"/>
  <c r="L523" i="1" s="1"/>
  <c r="B524" i="1"/>
  <c r="K524" i="1" s="1"/>
  <c r="B525" i="1"/>
  <c r="K525" i="1" s="1"/>
  <c r="B526" i="1"/>
  <c r="L526" i="1" s="1"/>
  <c r="B527" i="1"/>
  <c r="B528" i="1"/>
  <c r="B529" i="1"/>
  <c r="B530" i="1"/>
  <c r="B531" i="1"/>
  <c r="B532" i="1"/>
  <c r="B533" i="1"/>
  <c r="K533" i="1" s="1"/>
  <c r="B534" i="1"/>
  <c r="K534" i="1" s="1"/>
  <c r="B535" i="1"/>
  <c r="L535" i="1" s="1"/>
  <c r="B536" i="1"/>
  <c r="K536" i="1" s="1"/>
  <c r="B537" i="1"/>
  <c r="L537" i="1" s="1"/>
  <c r="B538" i="1"/>
  <c r="L538" i="1" s="1"/>
  <c r="B539" i="1"/>
  <c r="L539" i="1" s="1"/>
  <c r="B540" i="1"/>
  <c r="B541" i="1"/>
  <c r="L541" i="1" s="1"/>
  <c r="B542" i="1"/>
  <c r="K542" i="1" s="1"/>
  <c r="B543" i="1"/>
  <c r="K543" i="1" s="1"/>
  <c r="B544" i="1"/>
  <c r="L544" i="1" s="1"/>
  <c r="B545" i="1"/>
  <c r="K545" i="1" s="1"/>
  <c r="B546" i="1"/>
  <c r="B547" i="1"/>
  <c r="B548" i="1"/>
  <c r="K548" i="1" s="1"/>
  <c r="B549" i="1"/>
  <c r="B550" i="1"/>
  <c r="B551" i="1"/>
  <c r="B552" i="1"/>
  <c r="B553" i="1"/>
  <c r="L553" i="1" s="1"/>
  <c r="B554" i="1"/>
  <c r="B555" i="1"/>
  <c r="K555" i="1" s="1"/>
  <c r="B556" i="1"/>
  <c r="K556" i="1" s="1"/>
  <c r="B557" i="1"/>
  <c r="K557" i="1" s="1"/>
  <c r="B558" i="1"/>
  <c r="B559" i="1"/>
  <c r="L559" i="1" s="1"/>
  <c r="B560" i="1"/>
  <c r="K560" i="1" s="1"/>
  <c r="B561" i="1"/>
  <c r="L561" i="1" s="1"/>
  <c r="B562" i="1"/>
  <c r="B563" i="1"/>
  <c r="K563" i="1" s="1"/>
  <c r="B564" i="1"/>
  <c r="K564" i="1" s="1"/>
  <c r="B565" i="1"/>
  <c r="L565" i="1" s="1"/>
  <c r="B566" i="1"/>
  <c r="K566" i="1" s="1"/>
  <c r="B567" i="1"/>
  <c r="K567" i="1" s="1"/>
  <c r="B568" i="1"/>
  <c r="K568" i="1" s="1"/>
  <c r="B569" i="1"/>
  <c r="L569" i="1" s="1"/>
  <c r="B570" i="1"/>
  <c r="B571" i="1"/>
  <c r="B572" i="1"/>
  <c r="K572" i="1" s="1"/>
  <c r="B573" i="1"/>
  <c r="B574" i="1"/>
  <c r="L574" i="1" s="1"/>
  <c r="B575" i="1"/>
  <c r="L575" i="1" s="1"/>
  <c r="B576" i="1"/>
  <c r="L576" i="1" s="1"/>
  <c r="B577" i="1"/>
  <c r="L577" i="1" s="1"/>
  <c r="B578" i="1"/>
  <c r="L578" i="1" s="1"/>
  <c r="B579" i="1"/>
  <c r="L579" i="1" s="1"/>
  <c r="B580" i="1"/>
  <c r="B581" i="1"/>
  <c r="B582" i="1"/>
  <c r="L582" i="1" s="1"/>
  <c r="B583" i="1"/>
  <c r="K583" i="1" s="1"/>
  <c r="B584" i="1"/>
  <c r="B585" i="1"/>
  <c r="L585" i="1" s="1"/>
  <c r="B586" i="1"/>
  <c r="L586" i="1" s="1"/>
  <c r="B587" i="1"/>
  <c r="L587" i="1" s="1"/>
  <c r="B588" i="1"/>
  <c r="K588" i="1" s="1"/>
  <c r="B589" i="1"/>
  <c r="L589" i="1" s="1"/>
  <c r="B590" i="1"/>
  <c r="L590" i="1" s="1"/>
  <c r="B591" i="1"/>
  <c r="L591" i="1" s="1"/>
  <c r="B592" i="1"/>
  <c r="B593" i="1"/>
  <c r="B594" i="1"/>
  <c r="B595" i="1"/>
  <c r="L595" i="1" s="1"/>
  <c r="B596" i="1"/>
  <c r="L596" i="1" s="1"/>
  <c r="B597" i="1"/>
  <c r="B598" i="1"/>
  <c r="B599" i="1"/>
  <c r="B600" i="1"/>
  <c r="B601" i="1"/>
  <c r="K601" i="1" s="1"/>
  <c r="B602" i="1"/>
  <c r="B603" i="1"/>
  <c r="L603" i="1" s="1"/>
  <c r="B604" i="1"/>
  <c r="B605" i="1"/>
  <c r="L605" i="1" s="1"/>
  <c r="B606" i="1"/>
  <c r="B607" i="1"/>
  <c r="L607" i="1" s="1"/>
  <c r="B608" i="1"/>
  <c r="L608" i="1" s="1"/>
  <c r="B609" i="1"/>
  <c r="K609" i="1" s="1"/>
  <c r="B610" i="1"/>
  <c r="L610" i="1" s="1"/>
  <c r="B611" i="1"/>
  <c r="B612" i="1"/>
  <c r="L612" i="1" s="1"/>
  <c r="B613" i="1"/>
  <c r="L613" i="1" s="1"/>
  <c r="B614" i="1"/>
  <c r="B615" i="1"/>
  <c r="B616" i="1"/>
  <c r="K616" i="1" s="1"/>
  <c r="B617" i="1"/>
  <c r="K617" i="1" s="1"/>
  <c r="B618" i="1"/>
  <c r="B619" i="1"/>
  <c r="K619" i="1" s="1"/>
  <c r="B620" i="1"/>
  <c r="L620" i="1" s="1"/>
  <c r="B621" i="1"/>
  <c r="L621" i="1" s="1"/>
  <c r="B622" i="1"/>
  <c r="L622" i="1" s="1"/>
  <c r="B623" i="1"/>
  <c r="L623" i="1" s="1"/>
  <c r="B624" i="1"/>
  <c r="K624" i="1" s="1"/>
  <c r="B625" i="1"/>
  <c r="L625" i="1" s="1"/>
  <c r="B626" i="1"/>
  <c r="L626" i="1" s="1"/>
  <c r="B627" i="1"/>
  <c r="B628" i="1"/>
  <c r="L628" i="1" s="1"/>
  <c r="B629" i="1"/>
  <c r="L629" i="1" s="1"/>
  <c r="B630" i="1"/>
  <c r="K630" i="1" s="1"/>
  <c r="B631" i="1"/>
  <c r="B632" i="1"/>
  <c r="L632" i="1" s="1"/>
  <c r="B633" i="1"/>
  <c r="L633" i="1" s="1"/>
  <c r="B634" i="1"/>
  <c r="L634" i="1" s="1"/>
  <c r="B635" i="1"/>
  <c r="B636" i="1"/>
  <c r="B637" i="1"/>
  <c r="B638" i="1"/>
  <c r="B639" i="1"/>
  <c r="B640" i="1"/>
  <c r="B641" i="1"/>
  <c r="B642" i="1"/>
  <c r="B643" i="1"/>
  <c r="B644" i="1"/>
  <c r="L644" i="1" s="1"/>
  <c r="B645" i="1"/>
  <c r="B646" i="1"/>
  <c r="B647" i="1"/>
  <c r="L647" i="1" s="1"/>
  <c r="B648" i="1"/>
  <c r="L648" i="1" s="1"/>
  <c r="B649" i="1"/>
  <c r="B650" i="1"/>
  <c r="B651" i="1"/>
  <c r="B652" i="1"/>
  <c r="K652" i="1" s="1"/>
  <c r="B653" i="1"/>
  <c r="B654" i="1"/>
  <c r="K654" i="1" s="1"/>
  <c r="B655" i="1"/>
  <c r="K655" i="1" s="1"/>
  <c r="B656" i="1"/>
  <c r="L656" i="1" s="1"/>
  <c r="B657" i="1"/>
  <c r="K657" i="1" s="1"/>
  <c r="B658" i="1"/>
  <c r="B659" i="1"/>
  <c r="B660" i="1"/>
  <c r="L660" i="1" s="1"/>
  <c r="B661" i="1"/>
  <c r="B662" i="1"/>
  <c r="B663" i="1"/>
  <c r="B664" i="1"/>
  <c r="B665" i="1"/>
  <c r="K665" i="1" s="1"/>
  <c r="B666" i="1"/>
  <c r="K666" i="1" s="1"/>
  <c r="B667" i="1"/>
  <c r="K667" i="1" s="1"/>
  <c r="B668" i="1"/>
  <c r="B669" i="1"/>
  <c r="L669" i="1" s="1"/>
  <c r="B670" i="1"/>
  <c r="K670" i="1" s="1"/>
  <c r="B671" i="1"/>
  <c r="B672" i="1"/>
  <c r="B673" i="1"/>
  <c r="B674" i="1"/>
  <c r="L674" i="1" s="1"/>
  <c r="B675" i="1"/>
  <c r="K675" i="1" s="1"/>
  <c r="B676" i="1"/>
  <c r="L676" i="1" s="1"/>
  <c r="B677" i="1"/>
  <c r="L677" i="1" s="1"/>
  <c r="B678" i="1"/>
  <c r="L678" i="1" s="1"/>
  <c r="B679" i="1"/>
  <c r="L679" i="1" s="1"/>
  <c r="B680" i="1"/>
  <c r="B681" i="1"/>
  <c r="K681" i="1" s="1"/>
  <c r="B682" i="1"/>
  <c r="B683" i="1"/>
  <c r="K683" i="1" s="1"/>
  <c r="B684" i="1"/>
  <c r="L684" i="1" s="1"/>
  <c r="B685" i="1"/>
  <c r="B686" i="1"/>
  <c r="B687" i="1"/>
  <c r="B688" i="1"/>
  <c r="L688" i="1" s="1"/>
  <c r="B689" i="1"/>
  <c r="B690" i="1"/>
  <c r="B691" i="1"/>
  <c r="K691" i="1" s="1"/>
  <c r="B692" i="1"/>
  <c r="B693" i="1"/>
  <c r="B694" i="1"/>
  <c r="L694" i="1" s="1"/>
  <c r="B695" i="1"/>
  <c r="L695" i="1" s="1"/>
  <c r="B696" i="1"/>
  <c r="B697" i="1"/>
  <c r="L697" i="1" s="1"/>
  <c r="B698" i="1"/>
  <c r="L698" i="1" s="1"/>
  <c r="B699" i="1"/>
  <c r="L699" i="1" s="1"/>
  <c r="B700" i="1"/>
  <c r="K700" i="1" s="1"/>
  <c r="B701" i="1"/>
  <c r="K701" i="1" s="1"/>
  <c r="B702" i="1"/>
  <c r="B703" i="1"/>
  <c r="B704" i="1"/>
  <c r="B705" i="1"/>
  <c r="B706" i="1"/>
  <c r="B707" i="1"/>
  <c r="B708" i="1"/>
  <c r="B709" i="1"/>
  <c r="B710" i="1"/>
  <c r="L710" i="1" s="1"/>
  <c r="B711" i="1"/>
  <c r="L711" i="1" s="1"/>
  <c r="B712" i="1"/>
  <c r="K712" i="1" s="1"/>
  <c r="B713" i="1"/>
  <c r="K713" i="1" s="1"/>
  <c r="B714" i="1"/>
  <c r="B715" i="1"/>
  <c r="B716" i="1"/>
  <c r="B717" i="1"/>
  <c r="B718" i="1"/>
  <c r="B719" i="1"/>
  <c r="B720" i="1"/>
  <c r="B721" i="1"/>
  <c r="L721" i="1" s="1"/>
  <c r="B722" i="1"/>
  <c r="L722" i="1" s="1"/>
  <c r="B723" i="1"/>
  <c r="L723" i="1" s="1"/>
  <c r="B724" i="1"/>
  <c r="K724" i="1" s="1"/>
  <c r="B725" i="1"/>
  <c r="B726" i="1"/>
  <c r="L726" i="1" s="1"/>
  <c r="B727" i="1"/>
  <c r="L727" i="1" s="1"/>
  <c r="B728" i="1"/>
  <c r="L728" i="1" s="1"/>
  <c r="B729" i="1"/>
  <c r="K729" i="1" s="1"/>
  <c r="B730" i="1"/>
  <c r="B731" i="1"/>
  <c r="B732" i="1"/>
  <c r="K732" i="1" s="1"/>
  <c r="B733" i="1"/>
  <c r="K733" i="1" s="1"/>
  <c r="B734" i="1"/>
  <c r="B735" i="1"/>
  <c r="L735" i="1" s="1"/>
  <c r="B736" i="1"/>
  <c r="L736" i="1" s="1"/>
  <c r="B737" i="1"/>
  <c r="K737" i="1" s="1"/>
  <c r="B738" i="1"/>
  <c r="B739" i="1"/>
  <c r="L739" i="1" s="1"/>
  <c r="B740" i="1"/>
  <c r="L740" i="1" s="1"/>
  <c r="B741" i="1"/>
  <c r="K741" i="1" s="1"/>
  <c r="B742" i="1"/>
  <c r="B743" i="1"/>
  <c r="L743" i="1" s="1"/>
  <c r="B744" i="1"/>
  <c r="B745" i="1"/>
  <c r="L745" i="1" s="1"/>
  <c r="B746" i="1"/>
  <c r="B747" i="1"/>
  <c r="L747" i="1" s="1"/>
  <c r="B748" i="1"/>
  <c r="K748" i="1" s="1"/>
  <c r="B749" i="1"/>
  <c r="K749" i="1" s="1"/>
  <c r="B750" i="1"/>
  <c r="B751" i="1"/>
  <c r="B752" i="1"/>
  <c r="B753" i="1"/>
  <c r="B754" i="1"/>
  <c r="B755" i="1"/>
  <c r="B756" i="1"/>
  <c r="K756" i="1" s="1"/>
  <c r="B757" i="1"/>
  <c r="K757" i="1" s="1"/>
  <c r="B758" i="1"/>
  <c r="B759" i="1"/>
  <c r="L759" i="1" s="1"/>
  <c r="B760" i="1"/>
  <c r="B761" i="1"/>
  <c r="B762" i="1"/>
  <c r="K762" i="1" s="1"/>
  <c r="B763" i="1"/>
  <c r="K763" i="1" s="1"/>
  <c r="B764" i="1"/>
  <c r="L764" i="1" s="1"/>
  <c r="B765" i="1"/>
  <c r="B766" i="1"/>
  <c r="K766" i="1" s="1"/>
  <c r="B767" i="1"/>
  <c r="L767" i="1" s="1"/>
  <c r="B768" i="1"/>
  <c r="L768" i="1" s="1"/>
  <c r="B769" i="1"/>
  <c r="B770" i="1"/>
  <c r="B771" i="1"/>
  <c r="B772" i="1"/>
  <c r="L772" i="1" s="1"/>
  <c r="B773" i="1"/>
  <c r="L773" i="1" s="1"/>
  <c r="B774" i="1"/>
  <c r="B775" i="1"/>
  <c r="L775" i="1" s="1"/>
  <c r="B776" i="1"/>
  <c r="B777" i="1"/>
  <c r="B778" i="1"/>
  <c r="K778" i="1" s="1"/>
  <c r="B779" i="1"/>
  <c r="B780" i="1"/>
  <c r="B781" i="1"/>
  <c r="B782" i="1"/>
  <c r="B783" i="1"/>
  <c r="B784" i="1"/>
  <c r="L784" i="1" s="1"/>
  <c r="B785" i="1"/>
  <c r="K785" i="1" s="1"/>
  <c r="B786" i="1"/>
  <c r="K786" i="1" s="1"/>
  <c r="B787" i="1"/>
  <c r="K787" i="1" s="1"/>
  <c r="B788" i="1"/>
  <c r="K788" i="1" s="1"/>
  <c r="B789" i="1"/>
  <c r="K789" i="1" s="1"/>
  <c r="B790" i="1"/>
  <c r="B791" i="1"/>
  <c r="B792" i="1"/>
  <c r="B793" i="1"/>
  <c r="B794" i="1"/>
  <c r="B795" i="1"/>
  <c r="B796" i="1"/>
  <c r="K796" i="1" s="1"/>
  <c r="B797" i="1"/>
  <c r="B798" i="1"/>
  <c r="B799" i="1"/>
  <c r="B800" i="1"/>
  <c r="B801" i="1"/>
  <c r="B802" i="1"/>
  <c r="B803" i="1"/>
  <c r="L803" i="1" s="1"/>
  <c r="B804" i="1"/>
  <c r="L804" i="1" s="1"/>
  <c r="B805" i="1"/>
  <c r="K805" i="1" s="1"/>
  <c r="B806" i="1"/>
  <c r="K806" i="1" s="1"/>
  <c r="B807" i="1"/>
  <c r="B808" i="1"/>
  <c r="L808" i="1" s="1"/>
  <c r="B809" i="1"/>
  <c r="L809" i="1" s="1"/>
  <c r="B810" i="1"/>
  <c r="L810" i="1" s="1"/>
  <c r="B811" i="1"/>
  <c r="K811" i="1" s="1"/>
  <c r="B812" i="1"/>
  <c r="B813" i="1"/>
  <c r="K813" i="1" s="1"/>
  <c r="B814" i="1"/>
  <c r="L814" i="1" s="1"/>
  <c r="B815" i="1"/>
  <c r="L815" i="1" s="1"/>
  <c r="B816" i="1"/>
  <c r="L816" i="1" s="1"/>
  <c r="B817" i="1"/>
  <c r="L817" i="1" s="1"/>
  <c r="B818" i="1"/>
  <c r="B819" i="1"/>
  <c r="L819" i="1" s="1"/>
  <c r="B820" i="1"/>
  <c r="K820" i="1" s="1"/>
  <c r="B821" i="1"/>
  <c r="K821" i="1" s="1"/>
  <c r="B822" i="1"/>
  <c r="B823" i="1"/>
  <c r="B824" i="1"/>
  <c r="K824" i="1" s="1"/>
  <c r="B825" i="1"/>
  <c r="K825" i="1" s="1"/>
  <c r="B826" i="1"/>
  <c r="B827" i="1"/>
  <c r="K827" i="1" s="1"/>
  <c r="B828" i="1"/>
  <c r="L828" i="1" s="1"/>
  <c r="B829" i="1"/>
  <c r="L829" i="1" s="1"/>
  <c r="B830" i="1"/>
  <c r="L830" i="1" s="1"/>
  <c r="B831" i="1"/>
  <c r="L831" i="1" s="1"/>
  <c r="B832" i="1"/>
  <c r="L832" i="1" s="1"/>
  <c r="B833" i="1"/>
  <c r="B834" i="1"/>
  <c r="K834" i="1" s="1"/>
  <c r="B835" i="1"/>
  <c r="B836" i="1"/>
  <c r="B837" i="1"/>
  <c r="B838" i="1"/>
  <c r="L838" i="1" s="1"/>
  <c r="B839" i="1"/>
  <c r="L839" i="1" s="1"/>
  <c r="B840" i="1"/>
  <c r="B841" i="1"/>
  <c r="L841" i="1" s="1"/>
  <c r="B842" i="1"/>
  <c r="L842" i="1" s="1"/>
  <c r="B843" i="1"/>
  <c r="L843" i="1" s="1"/>
  <c r="B844" i="1"/>
  <c r="B845" i="1"/>
  <c r="B846" i="1"/>
  <c r="L846" i="1" s="1"/>
  <c r="B847" i="1"/>
  <c r="K847" i="1" s="1"/>
  <c r="B848" i="1"/>
  <c r="B849" i="1"/>
  <c r="L849" i="1" s="1"/>
  <c r="B850" i="1"/>
  <c r="K850" i="1" s="1"/>
  <c r="B851" i="1"/>
  <c r="K851" i="1" s="1"/>
  <c r="B852" i="1"/>
  <c r="B853" i="1"/>
  <c r="K853" i="1" s="1"/>
  <c r="B854" i="1"/>
  <c r="K854" i="1" s="1"/>
  <c r="B855" i="1"/>
  <c r="L855" i="1" s="1"/>
  <c r="B856" i="1"/>
  <c r="K856" i="1" s="1"/>
  <c r="B857" i="1"/>
  <c r="B858" i="1"/>
  <c r="B859" i="1"/>
  <c r="B860" i="1"/>
  <c r="B861" i="1"/>
  <c r="K861" i="1" s="1"/>
  <c r="B862" i="1"/>
  <c r="B863" i="1"/>
  <c r="B864" i="1"/>
  <c r="B865" i="1"/>
  <c r="L865" i="1" s="1"/>
  <c r="B866" i="1"/>
  <c r="K866" i="1" s="1"/>
  <c r="B867" i="1"/>
  <c r="K867" i="1" s="1"/>
  <c r="B868" i="1"/>
  <c r="K868" i="1" s="1"/>
  <c r="B869" i="1"/>
  <c r="B870" i="1"/>
  <c r="B871" i="1"/>
  <c r="K871" i="1" s="1"/>
  <c r="B872" i="1"/>
  <c r="K872" i="1" s="1"/>
  <c r="B873" i="1"/>
  <c r="B874" i="1"/>
  <c r="L874" i="1" s="1"/>
  <c r="B875" i="1"/>
  <c r="B876" i="1"/>
  <c r="B877" i="1"/>
  <c r="K877" i="1" s="1"/>
  <c r="B878" i="1"/>
  <c r="B879" i="1"/>
  <c r="B880" i="1"/>
  <c r="B881" i="1"/>
  <c r="L881" i="1" s="1"/>
  <c r="B882" i="1"/>
  <c r="L882" i="1" s="1"/>
  <c r="B883" i="1"/>
  <c r="L883" i="1" s="1"/>
  <c r="B884" i="1"/>
  <c r="L884" i="1" s="1"/>
  <c r="B885" i="1"/>
  <c r="B886" i="1"/>
  <c r="L886" i="1" s="1"/>
  <c r="B887" i="1"/>
  <c r="L887" i="1" s="1"/>
  <c r="B888" i="1"/>
  <c r="K888" i="1" s="1"/>
  <c r="B889" i="1"/>
  <c r="B890" i="1"/>
  <c r="B891" i="1"/>
  <c r="B892" i="1"/>
  <c r="L892" i="1" s="1"/>
  <c r="B893" i="1"/>
  <c r="K893" i="1" s="1"/>
  <c r="B894" i="1"/>
  <c r="K894" i="1" s="1"/>
  <c r="B895" i="1"/>
  <c r="L895" i="1" s="1"/>
  <c r="B896" i="1"/>
  <c r="L896" i="1" s="1"/>
  <c r="B897" i="1"/>
  <c r="L897" i="1" s="1"/>
  <c r="B898" i="1"/>
  <c r="K898" i="1" s="1"/>
  <c r="B899" i="1"/>
  <c r="K899" i="1" s="1"/>
  <c r="B900" i="1"/>
  <c r="B901" i="1"/>
  <c r="B902" i="1"/>
  <c r="K902" i="1" s="1"/>
  <c r="B903" i="1"/>
  <c r="K903" i="1" s="1"/>
  <c r="B904" i="1"/>
  <c r="B905" i="1"/>
  <c r="L905" i="1" s="1"/>
  <c r="B906" i="1"/>
  <c r="K906" i="1" s="1"/>
  <c r="B907" i="1"/>
  <c r="K907" i="1" s="1"/>
  <c r="B908" i="1"/>
  <c r="K908" i="1" s="1"/>
  <c r="B909" i="1"/>
  <c r="L909" i="1" s="1"/>
  <c r="B910" i="1"/>
  <c r="K910" i="1" s="1"/>
  <c r="B911" i="1"/>
  <c r="B912" i="1"/>
  <c r="B913" i="1"/>
  <c r="L913" i="1" s="1"/>
  <c r="B914" i="1"/>
  <c r="L914" i="1" s="1"/>
  <c r="B915" i="1"/>
  <c r="L915" i="1" s="1"/>
  <c r="B916" i="1"/>
  <c r="B917" i="1"/>
  <c r="K917" i="1" s="1"/>
  <c r="B918" i="1"/>
  <c r="L918" i="1" s="1"/>
  <c r="B919" i="1"/>
  <c r="K919" i="1" s="1"/>
  <c r="B920" i="1"/>
  <c r="L920" i="1" s="1"/>
  <c r="B921" i="1"/>
  <c r="K921" i="1" s="1"/>
  <c r="B922" i="1"/>
  <c r="B923" i="1"/>
  <c r="B924" i="1"/>
  <c r="B925" i="1"/>
  <c r="K925" i="1" s="1"/>
  <c r="B926" i="1"/>
  <c r="B927" i="1"/>
  <c r="L927" i="1" s="1"/>
  <c r="B928" i="1"/>
  <c r="L928" i="1" s="1"/>
  <c r="B929" i="1"/>
  <c r="K929" i="1" s="1"/>
  <c r="B930" i="1"/>
  <c r="K930" i="1" s="1"/>
  <c r="B931" i="1"/>
  <c r="L931" i="1" s="1"/>
  <c r="B932" i="1"/>
  <c r="L932" i="1" s="1"/>
  <c r="B933" i="1"/>
  <c r="L933" i="1" s="1"/>
  <c r="B934" i="1"/>
  <c r="K934" i="1" s="1"/>
  <c r="B935" i="1"/>
  <c r="B936" i="1"/>
  <c r="B937" i="1"/>
  <c r="L937" i="1" s="1"/>
  <c r="B938" i="1"/>
  <c r="B939" i="1"/>
  <c r="B940" i="1"/>
  <c r="L940" i="1" s="1"/>
  <c r="B941" i="1"/>
  <c r="L941" i="1" s="1"/>
  <c r="B942" i="1"/>
  <c r="L942" i="1" s="1"/>
  <c r="B943" i="1"/>
  <c r="L943" i="1" s="1"/>
  <c r="B944" i="1"/>
  <c r="L944" i="1" s="1"/>
  <c r="B945" i="1"/>
  <c r="L945" i="1" s="1"/>
  <c r="B946" i="1"/>
  <c r="L946" i="1" s="1"/>
  <c r="B947" i="1"/>
  <c r="L947" i="1" s="1"/>
  <c r="B948" i="1"/>
  <c r="B949" i="1"/>
  <c r="L949" i="1" s="1"/>
  <c r="B950" i="1"/>
  <c r="B951" i="1"/>
  <c r="L951" i="1" s="1"/>
  <c r="B952" i="1"/>
  <c r="L952" i="1" s="1"/>
  <c r="B953" i="1"/>
  <c r="L953" i="1" s="1"/>
  <c r="B954" i="1"/>
  <c r="K954" i="1" s="1"/>
  <c r="B955" i="1"/>
  <c r="B956" i="1"/>
  <c r="L956" i="1" s="1"/>
  <c r="B957" i="1"/>
  <c r="L957" i="1" s="1"/>
  <c r="B958" i="1"/>
  <c r="B959" i="1"/>
  <c r="K959" i="1" s="1"/>
  <c r="B960" i="1"/>
  <c r="K960" i="1" s="1"/>
  <c r="B961" i="1"/>
  <c r="K961" i="1" s="1"/>
  <c r="B962" i="1"/>
  <c r="B963" i="1"/>
  <c r="B2" i="1"/>
  <c r="K597" i="1" l="1"/>
  <c r="L597" i="1"/>
  <c r="L443" i="1"/>
  <c r="K443" i="1"/>
  <c r="K267" i="1"/>
  <c r="L267" i="1"/>
  <c r="L69" i="1"/>
  <c r="K69" i="1"/>
  <c r="L3" i="1"/>
  <c r="K3" i="1"/>
  <c r="L245" i="1"/>
  <c r="L750" i="1"/>
  <c r="K750" i="1"/>
  <c r="L332" i="1"/>
  <c r="K332" i="1"/>
  <c r="L68" i="1"/>
  <c r="K68" i="1"/>
  <c r="L859" i="1"/>
  <c r="K859" i="1"/>
  <c r="K837" i="1"/>
  <c r="L837" i="1"/>
  <c r="L793" i="1"/>
  <c r="K793" i="1"/>
  <c r="K639" i="1"/>
  <c r="L639" i="1"/>
  <c r="K573" i="1"/>
  <c r="L573" i="1"/>
  <c r="L551" i="1"/>
  <c r="K551" i="1"/>
  <c r="K529" i="1"/>
  <c r="L529" i="1"/>
  <c r="K419" i="1"/>
  <c r="L419" i="1"/>
  <c r="L375" i="1"/>
  <c r="K375" i="1"/>
  <c r="L331" i="1"/>
  <c r="K331" i="1"/>
  <c r="L199" i="1"/>
  <c r="K199" i="1"/>
  <c r="L67" i="1"/>
  <c r="K67" i="1"/>
  <c r="L45" i="1"/>
  <c r="K45" i="1"/>
  <c r="L223" i="1"/>
  <c r="L792" i="1"/>
  <c r="K792" i="1"/>
  <c r="K528" i="1"/>
  <c r="L528" i="1"/>
  <c r="K418" i="1"/>
  <c r="L418" i="1"/>
  <c r="K176" i="1"/>
  <c r="L176" i="1"/>
  <c r="L221" i="1"/>
  <c r="K593" i="1"/>
  <c r="L593" i="1"/>
  <c r="K329" i="1"/>
  <c r="L329" i="1"/>
  <c r="L197" i="1"/>
  <c r="K197" i="1"/>
  <c r="L153" i="1"/>
  <c r="K153" i="1"/>
  <c r="L131" i="1"/>
  <c r="K131" i="1"/>
  <c r="K21" i="1"/>
  <c r="L21" i="1"/>
  <c r="K727" i="1"/>
  <c r="K157" i="1"/>
  <c r="L220" i="1"/>
  <c r="L760" i="1"/>
  <c r="K760" i="1"/>
  <c r="L562" i="1"/>
  <c r="K562" i="1"/>
  <c r="L496" i="1"/>
  <c r="K496" i="1"/>
  <c r="K815" i="1"/>
  <c r="K285" i="1"/>
  <c r="L813" i="1"/>
  <c r="K891" i="1"/>
  <c r="L891" i="1"/>
  <c r="K869" i="1"/>
  <c r="L869" i="1"/>
  <c r="K627" i="1"/>
  <c r="L627" i="1"/>
  <c r="K495" i="1"/>
  <c r="L495" i="1"/>
  <c r="K407" i="1"/>
  <c r="L407" i="1"/>
  <c r="K319" i="1"/>
  <c r="L319" i="1"/>
  <c r="K209" i="1"/>
  <c r="L209" i="1"/>
  <c r="K33" i="1"/>
  <c r="L33" i="1"/>
  <c r="K814" i="1"/>
  <c r="K464" i="1"/>
  <c r="K275" i="1"/>
  <c r="K55" i="1"/>
  <c r="L912" i="1"/>
  <c r="K912" i="1"/>
  <c r="L890" i="1"/>
  <c r="K890" i="1"/>
  <c r="K758" i="1"/>
  <c r="L758" i="1"/>
  <c r="K692" i="1"/>
  <c r="L692" i="1"/>
  <c r="K516" i="1"/>
  <c r="L516" i="1"/>
  <c r="L494" i="1"/>
  <c r="K494" i="1"/>
  <c r="K384" i="1"/>
  <c r="L384" i="1"/>
  <c r="L318" i="1"/>
  <c r="K318" i="1"/>
  <c r="K252" i="1"/>
  <c r="L252" i="1"/>
  <c r="L230" i="1"/>
  <c r="K230" i="1"/>
  <c r="L208" i="1"/>
  <c r="K208" i="1"/>
  <c r="K120" i="1"/>
  <c r="L120" i="1"/>
  <c r="K32" i="1"/>
  <c r="L32" i="1"/>
  <c r="K626" i="1"/>
  <c r="K463" i="1"/>
  <c r="K54" i="1"/>
  <c r="L548" i="1"/>
  <c r="K23" i="1"/>
  <c r="L340" i="1"/>
  <c r="L88" i="1"/>
  <c r="K222" i="1"/>
  <c r="K22" i="1"/>
  <c r="K440" i="1"/>
  <c r="L749" i="1"/>
  <c r="K768" i="1"/>
  <c r="K605" i="1"/>
  <c r="K438" i="1"/>
  <c r="L748" i="1"/>
  <c r="L506" i="1"/>
  <c r="L297" i="1"/>
  <c r="L44" i="1"/>
  <c r="L737" i="1"/>
  <c r="L505" i="1"/>
  <c r="L43" i="1"/>
  <c r="K421" i="1"/>
  <c r="K174" i="1"/>
  <c r="L683" i="1"/>
  <c r="L504" i="1"/>
  <c r="L274" i="1"/>
  <c r="K751" i="1"/>
  <c r="L751" i="1"/>
  <c r="L707" i="1"/>
  <c r="K707" i="1"/>
  <c r="K399" i="1"/>
  <c r="L399" i="1"/>
  <c r="L333" i="1"/>
  <c r="K333" i="1"/>
  <c r="K179" i="1"/>
  <c r="L179" i="1"/>
  <c r="L860" i="1"/>
  <c r="K860" i="1"/>
  <c r="L794" i="1"/>
  <c r="K794" i="1"/>
  <c r="L706" i="1"/>
  <c r="K706" i="1"/>
  <c r="L552" i="1"/>
  <c r="K552" i="1"/>
  <c r="L244" i="1"/>
  <c r="K244" i="1"/>
  <c r="K771" i="1"/>
  <c r="L771" i="1"/>
  <c r="L705" i="1"/>
  <c r="K705" i="1"/>
  <c r="K485" i="1"/>
  <c r="L485" i="1"/>
  <c r="L441" i="1"/>
  <c r="K441" i="1"/>
  <c r="K397" i="1"/>
  <c r="L397" i="1"/>
  <c r="K265" i="1"/>
  <c r="L265" i="1"/>
  <c r="L133" i="1"/>
  <c r="K133" i="1"/>
  <c r="K947" i="1"/>
  <c r="L924" i="1"/>
  <c r="K924" i="1"/>
  <c r="K880" i="1"/>
  <c r="L880" i="1"/>
  <c r="K836" i="1"/>
  <c r="L836" i="1"/>
  <c r="K594" i="1"/>
  <c r="L594" i="1"/>
  <c r="L550" i="1"/>
  <c r="K550" i="1"/>
  <c r="K396" i="1"/>
  <c r="L396" i="1"/>
  <c r="L374" i="1"/>
  <c r="K374" i="1"/>
  <c r="L330" i="1"/>
  <c r="K330" i="1"/>
  <c r="L198" i="1"/>
  <c r="K198" i="1"/>
  <c r="L154" i="1"/>
  <c r="K154" i="1"/>
  <c r="K132" i="1"/>
  <c r="L132" i="1"/>
  <c r="K835" i="1"/>
  <c r="L835" i="1"/>
  <c r="L791" i="1"/>
  <c r="K791" i="1"/>
  <c r="L483" i="1"/>
  <c r="K483" i="1"/>
  <c r="L461" i="1"/>
  <c r="K461" i="1"/>
  <c r="L241" i="1"/>
  <c r="K241" i="1"/>
  <c r="K175" i="1"/>
  <c r="L175" i="1"/>
  <c r="K328" i="1"/>
  <c r="L328" i="1"/>
  <c r="K130" i="1"/>
  <c r="L130" i="1"/>
  <c r="L902" i="1"/>
  <c r="L219" i="1"/>
  <c r="L861" i="1"/>
  <c r="L619" i="1"/>
  <c r="K881" i="1"/>
  <c r="K509" i="1"/>
  <c r="L824" i="1"/>
  <c r="K846" i="1"/>
  <c r="K310" i="1"/>
  <c r="K66" i="1"/>
  <c r="K507" i="1"/>
  <c r="K65" i="1"/>
  <c r="L572" i="1"/>
  <c r="L858" i="1"/>
  <c r="K858" i="1"/>
  <c r="K704" i="1"/>
  <c r="L704" i="1"/>
  <c r="L682" i="1"/>
  <c r="K682" i="1"/>
  <c r="L638" i="1"/>
  <c r="K638" i="1"/>
  <c r="K484" i="1"/>
  <c r="L484" i="1"/>
  <c r="K728" i="1"/>
  <c r="L903" i="1"/>
  <c r="L812" i="1"/>
  <c r="K812" i="1"/>
  <c r="L86" i="1"/>
  <c r="K86" i="1"/>
  <c r="K42" i="1"/>
  <c r="L42" i="1"/>
  <c r="K726" i="1"/>
  <c r="K553" i="1"/>
  <c r="K355" i="1"/>
  <c r="K883" i="1"/>
  <c r="K352" i="1"/>
  <c r="K311" i="1"/>
  <c r="L616" i="1"/>
  <c r="K508" i="1"/>
  <c r="K288" i="1"/>
  <c r="K64" i="1"/>
  <c r="L108" i="1"/>
  <c r="K669" i="1"/>
  <c r="L713" i="1"/>
  <c r="K207" i="1"/>
  <c r="L712" i="1"/>
  <c r="K447" i="1"/>
  <c r="L250" i="1"/>
  <c r="L127" i="1"/>
  <c r="L476" i="1"/>
  <c r="L249" i="1"/>
  <c r="K541" i="1"/>
  <c r="K312" i="1"/>
  <c r="L827" i="1"/>
  <c r="L475" i="1"/>
  <c r="L369" i="1"/>
  <c r="L248" i="1"/>
  <c r="L117" i="1"/>
  <c r="L888" i="1"/>
  <c r="L778" i="1"/>
  <c r="L522" i="1"/>
  <c r="L325" i="1"/>
  <c r="K897" i="1"/>
  <c r="L871" i="1"/>
  <c r="L322" i="1"/>
  <c r="L61" i="1"/>
  <c r="K126" i="1"/>
  <c r="K26" i="1"/>
  <c r="L510" i="1"/>
  <c r="K742" i="1"/>
  <c r="L742" i="1"/>
  <c r="L214" i="1"/>
  <c r="K214" i="1"/>
  <c r="K60" i="1"/>
  <c r="L60" i="1"/>
  <c r="K676" i="1"/>
  <c r="K719" i="1"/>
  <c r="L719" i="1"/>
  <c r="L411" i="1"/>
  <c r="K411" i="1"/>
  <c r="K37" i="1"/>
  <c r="L37" i="1"/>
  <c r="K104" i="1"/>
  <c r="L826" i="1"/>
  <c r="K826" i="1"/>
  <c r="L782" i="1"/>
  <c r="K782" i="1"/>
  <c r="L408" i="1"/>
  <c r="K408" i="1"/>
  <c r="L166" i="1"/>
  <c r="K166" i="1"/>
  <c r="K830" i="1"/>
  <c r="K302" i="1"/>
  <c r="K100" i="1"/>
  <c r="L786" i="1"/>
  <c r="L588" i="1"/>
  <c r="K558" i="1"/>
  <c r="L558" i="1"/>
  <c r="K448" i="1"/>
  <c r="L448" i="1"/>
  <c r="K404" i="1"/>
  <c r="L404" i="1"/>
  <c r="K162" i="1"/>
  <c r="L162" i="1"/>
  <c r="K8" i="1"/>
  <c r="L8" i="1"/>
  <c r="L492" i="1"/>
  <c r="K896" i="1"/>
  <c r="L864" i="1"/>
  <c r="K864" i="1"/>
  <c r="K336" i="1"/>
  <c r="L336" i="1"/>
  <c r="L138" i="1"/>
  <c r="K138" i="1"/>
  <c r="K94" i="1"/>
  <c r="L94" i="1"/>
  <c r="K895" i="1"/>
  <c r="K276" i="1"/>
  <c r="L961" i="1"/>
  <c r="L654" i="1"/>
  <c r="L566" i="1"/>
  <c r="L301" i="1"/>
  <c r="L206" i="1"/>
  <c r="L96" i="1"/>
  <c r="L885" i="1"/>
  <c r="K885" i="1"/>
  <c r="L863" i="1"/>
  <c r="K863" i="1"/>
  <c r="L797" i="1"/>
  <c r="K797" i="1"/>
  <c r="K753" i="1"/>
  <c r="L753" i="1"/>
  <c r="K687" i="1"/>
  <c r="L687" i="1"/>
  <c r="L599" i="1"/>
  <c r="K599" i="1"/>
  <c r="K511" i="1"/>
  <c r="L511" i="1"/>
  <c r="K423" i="1"/>
  <c r="L423" i="1"/>
  <c r="L379" i="1"/>
  <c r="K379" i="1"/>
  <c r="K225" i="1"/>
  <c r="L225" i="1"/>
  <c r="L137" i="1"/>
  <c r="K137" i="1"/>
  <c r="K93" i="1"/>
  <c r="L93" i="1"/>
  <c r="L27" i="1"/>
  <c r="K27" i="1"/>
  <c r="K892" i="1"/>
  <c r="K808" i="1"/>
  <c r="K628" i="1"/>
  <c r="K544" i="1"/>
  <c r="K372" i="1"/>
  <c r="L856" i="1"/>
  <c r="L757" i="1"/>
  <c r="L477" i="1"/>
  <c r="L950" i="1"/>
  <c r="K950" i="1"/>
  <c r="K840" i="1"/>
  <c r="L840" i="1"/>
  <c r="K752" i="1"/>
  <c r="L752" i="1"/>
  <c r="L730" i="1"/>
  <c r="K730" i="1"/>
  <c r="K686" i="1"/>
  <c r="L686" i="1"/>
  <c r="L598" i="1"/>
  <c r="K598" i="1"/>
  <c r="L554" i="1"/>
  <c r="K554" i="1"/>
  <c r="L532" i="1"/>
  <c r="K532" i="1"/>
  <c r="L466" i="1"/>
  <c r="K466" i="1"/>
  <c r="K422" i="1"/>
  <c r="L422" i="1"/>
  <c r="K400" i="1"/>
  <c r="L400" i="1"/>
  <c r="L378" i="1"/>
  <c r="K378" i="1"/>
  <c r="K290" i="1"/>
  <c r="L290" i="1"/>
  <c r="K246" i="1"/>
  <c r="L246" i="1"/>
  <c r="K224" i="1"/>
  <c r="L224" i="1"/>
  <c r="L158" i="1"/>
  <c r="K158" i="1"/>
  <c r="L136" i="1"/>
  <c r="K136" i="1"/>
  <c r="K114" i="1"/>
  <c r="L114" i="1"/>
  <c r="K460" i="1"/>
  <c r="K269" i="1"/>
  <c r="L756" i="1"/>
  <c r="L294" i="1"/>
  <c r="L185" i="1"/>
  <c r="K2" i="1"/>
  <c r="L2" i="1"/>
  <c r="L852" i="1"/>
  <c r="K852" i="1"/>
  <c r="L720" i="1"/>
  <c r="K720" i="1"/>
  <c r="K500" i="1"/>
  <c r="L500" i="1"/>
  <c r="K456" i="1"/>
  <c r="L456" i="1"/>
  <c r="L434" i="1"/>
  <c r="K434" i="1"/>
  <c r="K236" i="1"/>
  <c r="L236" i="1"/>
  <c r="L192" i="1"/>
  <c r="K192" i="1"/>
  <c r="K940" i="1"/>
  <c r="K873" i="1"/>
  <c r="L873" i="1"/>
  <c r="K807" i="1"/>
  <c r="L807" i="1"/>
  <c r="K653" i="1"/>
  <c r="L653" i="1"/>
  <c r="L257" i="1"/>
  <c r="K257" i="1"/>
  <c r="K213" i="1"/>
  <c r="L213" i="1"/>
  <c r="K191" i="1"/>
  <c r="L191" i="1"/>
  <c r="K169" i="1"/>
  <c r="L169" i="1"/>
  <c r="K103" i="1"/>
  <c r="L958" i="1"/>
  <c r="K958" i="1"/>
  <c r="L738" i="1"/>
  <c r="K738" i="1"/>
  <c r="L672" i="1"/>
  <c r="K672" i="1"/>
  <c r="L606" i="1"/>
  <c r="K606" i="1"/>
  <c r="L540" i="1"/>
  <c r="K540" i="1"/>
  <c r="L210" i="1"/>
  <c r="K210" i="1"/>
  <c r="L188" i="1"/>
  <c r="K188" i="1"/>
  <c r="K412" i="1"/>
  <c r="K918" i="1"/>
  <c r="K829" i="1"/>
  <c r="K390" i="1"/>
  <c r="K298" i="1"/>
  <c r="K955" i="1"/>
  <c r="L955" i="1"/>
  <c r="L845" i="1"/>
  <c r="K845" i="1"/>
  <c r="K317" i="1"/>
  <c r="L317" i="1"/>
  <c r="L295" i="1"/>
  <c r="K295" i="1"/>
  <c r="L273" i="1"/>
  <c r="K273" i="1"/>
  <c r="L53" i="1"/>
  <c r="K53" i="1"/>
  <c r="L31" i="1"/>
  <c r="K31" i="1"/>
  <c r="K822" i="1"/>
  <c r="L822" i="1"/>
  <c r="K734" i="1"/>
  <c r="L734" i="1"/>
  <c r="K690" i="1"/>
  <c r="L690" i="1"/>
  <c r="K646" i="1"/>
  <c r="L646" i="1"/>
  <c r="K514" i="1"/>
  <c r="L514" i="1"/>
  <c r="K360" i="1"/>
  <c r="L360" i="1"/>
  <c r="K316" i="1"/>
  <c r="L316" i="1"/>
  <c r="K228" i="1"/>
  <c r="L228" i="1"/>
  <c r="K118" i="1"/>
  <c r="L118" i="1"/>
  <c r="K74" i="1"/>
  <c r="L74" i="1"/>
  <c r="K735" i="1"/>
  <c r="L799" i="1"/>
  <c r="K799" i="1"/>
  <c r="K777" i="1"/>
  <c r="L777" i="1"/>
  <c r="K280" i="1"/>
  <c r="K776" i="1"/>
  <c r="L776" i="1"/>
  <c r="K512" i="1"/>
  <c r="L512" i="1"/>
  <c r="K446" i="1"/>
  <c r="L446" i="1"/>
  <c r="K625" i="1"/>
  <c r="K368" i="1"/>
  <c r="K953" i="1"/>
  <c r="K526" i="1"/>
  <c r="L471" i="1"/>
  <c r="L272" i="1"/>
  <c r="K952" i="1"/>
  <c r="K874" i="1"/>
  <c r="K698" i="1"/>
  <c r="K141" i="1"/>
  <c r="K56" i="1"/>
  <c r="L930" i="1"/>
  <c r="L741" i="1"/>
  <c r="L543" i="1"/>
  <c r="L470" i="1"/>
  <c r="K923" i="1"/>
  <c r="L923" i="1"/>
  <c r="K901" i="1"/>
  <c r="L901" i="1"/>
  <c r="K879" i="1"/>
  <c r="L879" i="1"/>
  <c r="K857" i="1"/>
  <c r="L857" i="1"/>
  <c r="L769" i="1"/>
  <c r="K769" i="1"/>
  <c r="L725" i="1"/>
  <c r="K725" i="1"/>
  <c r="L703" i="1"/>
  <c r="K703" i="1"/>
  <c r="L659" i="1"/>
  <c r="K659" i="1"/>
  <c r="L637" i="1"/>
  <c r="K637" i="1"/>
  <c r="K615" i="1"/>
  <c r="L615" i="1"/>
  <c r="K571" i="1"/>
  <c r="L571" i="1"/>
  <c r="K549" i="1"/>
  <c r="L549" i="1"/>
  <c r="L527" i="1"/>
  <c r="K527" i="1"/>
  <c r="K395" i="1"/>
  <c r="L395" i="1"/>
  <c r="K373" i="1"/>
  <c r="L373" i="1"/>
  <c r="K351" i="1"/>
  <c r="L351" i="1"/>
  <c r="L307" i="1"/>
  <c r="K307" i="1"/>
  <c r="L263" i="1"/>
  <c r="K263" i="1"/>
  <c r="L109" i="1"/>
  <c r="K109" i="1"/>
  <c r="K87" i="1"/>
  <c r="L87" i="1"/>
  <c r="K951" i="1"/>
  <c r="K342" i="1"/>
  <c r="L929" i="1"/>
  <c r="L834" i="1"/>
  <c r="L151" i="1"/>
  <c r="L962" i="1"/>
  <c r="K962" i="1"/>
  <c r="K346" i="1"/>
  <c r="L346" i="1"/>
  <c r="L324" i="1"/>
  <c r="K324" i="1"/>
  <c r="K148" i="1"/>
  <c r="L148" i="1"/>
  <c r="L82" i="1"/>
  <c r="K82" i="1"/>
  <c r="K38" i="1"/>
  <c r="L38" i="1"/>
  <c r="K631" i="1"/>
  <c r="L631" i="1"/>
  <c r="K15" i="1"/>
  <c r="L15" i="1"/>
  <c r="L911" i="1"/>
  <c r="K911" i="1"/>
  <c r="L889" i="1"/>
  <c r="K889" i="1"/>
  <c r="K823" i="1"/>
  <c r="L823" i="1"/>
  <c r="L449" i="1"/>
  <c r="K449" i="1"/>
  <c r="K474" i="1"/>
  <c r="K16" i="1"/>
  <c r="K844" i="1"/>
  <c r="L844" i="1"/>
  <c r="K800" i="1"/>
  <c r="L800" i="1"/>
  <c r="K668" i="1"/>
  <c r="L668" i="1"/>
  <c r="K602" i="1"/>
  <c r="L602" i="1"/>
  <c r="K580" i="1"/>
  <c r="L580" i="1"/>
  <c r="K338" i="1"/>
  <c r="L338" i="1"/>
  <c r="K30" i="1"/>
  <c r="L30" i="1"/>
  <c r="K632" i="1"/>
  <c r="L798" i="1"/>
  <c r="K798" i="1"/>
  <c r="K754" i="1"/>
  <c r="L754" i="1"/>
  <c r="L184" i="1"/>
  <c r="K922" i="1"/>
  <c r="L922" i="1"/>
  <c r="L900" i="1"/>
  <c r="K900" i="1"/>
  <c r="K878" i="1"/>
  <c r="L878" i="1"/>
  <c r="L790" i="1"/>
  <c r="K790" i="1"/>
  <c r="L746" i="1"/>
  <c r="K746" i="1"/>
  <c r="K702" i="1"/>
  <c r="L702" i="1"/>
  <c r="K680" i="1"/>
  <c r="L680" i="1"/>
  <c r="L658" i="1"/>
  <c r="K658" i="1"/>
  <c r="L636" i="1"/>
  <c r="K636" i="1"/>
  <c r="L614" i="1"/>
  <c r="K614" i="1"/>
  <c r="K592" i="1"/>
  <c r="L592" i="1"/>
  <c r="K570" i="1"/>
  <c r="L570" i="1"/>
  <c r="L482" i="1"/>
  <c r="K482" i="1"/>
  <c r="L394" i="1"/>
  <c r="K394" i="1"/>
  <c r="K306" i="1"/>
  <c r="L306" i="1"/>
  <c r="L284" i="1"/>
  <c r="K284" i="1"/>
  <c r="L262" i="1"/>
  <c r="K262" i="1"/>
  <c r="L240" i="1"/>
  <c r="K240" i="1"/>
  <c r="K218" i="1"/>
  <c r="L218" i="1"/>
  <c r="L196" i="1"/>
  <c r="K196" i="1"/>
  <c r="K152" i="1"/>
  <c r="L152" i="1"/>
  <c r="K20" i="1"/>
  <c r="L20" i="1"/>
  <c r="K694" i="1"/>
  <c r="K603" i="1"/>
  <c r="L536" i="1"/>
  <c r="L107" i="1"/>
  <c r="K107" i="1"/>
  <c r="L41" i="1"/>
  <c r="K41" i="1"/>
  <c r="K945" i="1"/>
  <c r="K439" i="1"/>
  <c r="L724" i="1"/>
  <c r="L350" i="1"/>
  <c r="K795" i="1"/>
  <c r="L795" i="1"/>
  <c r="K685" i="1"/>
  <c r="L685" i="1"/>
  <c r="L641" i="1"/>
  <c r="K641" i="1"/>
  <c r="K531" i="1"/>
  <c r="L531" i="1"/>
  <c r="K289" i="1"/>
  <c r="L289" i="1"/>
  <c r="L135" i="1"/>
  <c r="K135" i="1"/>
  <c r="L113" i="1"/>
  <c r="K113" i="1"/>
  <c r="L47" i="1"/>
  <c r="K47" i="1"/>
  <c r="K25" i="1"/>
  <c r="L25" i="1"/>
  <c r="K539" i="1"/>
  <c r="K773" i="1"/>
  <c r="K721" i="1"/>
  <c r="L729" i="1"/>
  <c r="L450" i="1"/>
  <c r="L377" i="1"/>
  <c r="L304" i="1"/>
  <c r="K957" i="1"/>
  <c r="K905" i="1"/>
  <c r="K839" i="1"/>
  <c r="K105" i="1"/>
  <c r="L303" i="1"/>
  <c r="L11" i="1"/>
  <c r="L546" i="1"/>
  <c r="K546" i="1"/>
  <c r="K480" i="1"/>
  <c r="L480" i="1"/>
  <c r="K817" i="1"/>
  <c r="K759" i="1"/>
  <c r="K575" i="1"/>
  <c r="L963" i="1"/>
  <c r="K963" i="1"/>
  <c r="K875" i="1"/>
  <c r="L875" i="1"/>
  <c r="K765" i="1"/>
  <c r="L765" i="1"/>
  <c r="K413" i="1"/>
  <c r="L413" i="1"/>
  <c r="K237" i="1"/>
  <c r="L237" i="1"/>
  <c r="L215" i="1"/>
  <c r="K215" i="1"/>
  <c r="K83" i="1"/>
  <c r="L83" i="1"/>
  <c r="L39" i="1"/>
  <c r="K39" i="1"/>
  <c r="K699" i="1"/>
  <c r="K633" i="1"/>
  <c r="L919" i="1"/>
  <c r="L847" i="1"/>
  <c r="L142" i="1"/>
  <c r="L935" i="1"/>
  <c r="K935" i="1"/>
  <c r="L781" i="1"/>
  <c r="K781" i="1"/>
  <c r="L715" i="1"/>
  <c r="K715" i="1"/>
  <c r="L693" i="1"/>
  <c r="K693" i="1"/>
  <c r="L671" i="1"/>
  <c r="K671" i="1"/>
  <c r="K649" i="1"/>
  <c r="L649" i="1"/>
  <c r="K363" i="1"/>
  <c r="L363" i="1"/>
  <c r="K187" i="1"/>
  <c r="L187" i="1"/>
  <c r="L165" i="1"/>
  <c r="K165" i="1"/>
  <c r="L780" i="1"/>
  <c r="K780" i="1"/>
  <c r="L714" i="1"/>
  <c r="K714" i="1"/>
  <c r="L406" i="1"/>
  <c r="K406" i="1"/>
  <c r="K186" i="1"/>
  <c r="L186" i="1"/>
  <c r="L76" i="1"/>
  <c r="K76" i="1"/>
  <c r="K927" i="1"/>
  <c r="K612" i="1"/>
  <c r="K428" i="1"/>
  <c r="K362" i="1"/>
  <c r="K281" i="1"/>
  <c r="K10" i="1"/>
  <c r="L253" i="1"/>
  <c r="L193" i="1"/>
  <c r="K574" i="1"/>
  <c r="K946" i="1"/>
  <c r="K431" i="1"/>
  <c r="K376" i="1"/>
  <c r="K321" i="1"/>
  <c r="K513" i="1"/>
  <c r="K366" i="1"/>
  <c r="K255" i="1"/>
  <c r="K200" i="1"/>
  <c r="K101" i="1"/>
  <c r="L300" i="1"/>
  <c r="L190" i="1"/>
  <c r="K828" i="1"/>
  <c r="K595" i="1"/>
  <c r="L894" i="1"/>
  <c r="K684" i="1"/>
  <c r="K189" i="1"/>
  <c r="K134" i="1"/>
  <c r="L893" i="1"/>
  <c r="L73" i="1"/>
  <c r="K195" i="1"/>
  <c r="L195" i="1"/>
  <c r="K942" i="1"/>
  <c r="K723" i="1"/>
  <c r="K261" i="1"/>
  <c r="K19" i="1"/>
  <c r="L459" i="1"/>
  <c r="L173" i="1"/>
  <c r="L755" i="1"/>
  <c r="K755" i="1"/>
  <c r="K689" i="1"/>
  <c r="L689" i="1"/>
  <c r="L645" i="1"/>
  <c r="K645" i="1"/>
  <c r="L139" i="1"/>
  <c r="K139" i="1"/>
  <c r="L29" i="1"/>
  <c r="K29" i="1"/>
  <c r="K909" i="1"/>
  <c r="K843" i="1"/>
  <c r="K722" i="1"/>
  <c r="K656" i="1"/>
  <c r="K591" i="1"/>
  <c r="K85" i="1"/>
  <c r="L458" i="1"/>
  <c r="L51" i="1"/>
  <c r="L600" i="1"/>
  <c r="K600" i="1"/>
  <c r="K424" i="1"/>
  <c r="L424" i="1"/>
  <c r="K72" i="1"/>
  <c r="L72" i="1"/>
  <c r="L28" i="1"/>
  <c r="K28" i="1"/>
  <c r="K842" i="1"/>
  <c r="K688" i="1"/>
  <c r="K623" i="1"/>
  <c r="K590" i="1"/>
  <c r="K393" i="1"/>
  <c r="K293" i="1"/>
  <c r="K256" i="1"/>
  <c r="L872" i="1"/>
  <c r="L806" i="1"/>
  <c r="L701" i="1"/>
  <c r="L667" i="1"/>
  <c r="L557" i="1"/>
  <c r="L525" i="1"/>
  <c r="L389" i="1"/>
  <c r="L128" i="1"/>
  <c r="L50" i="1"/>
  <c r="L731" i="1"/>
  <c r="K731" i="1"/>
  <c r="K709" i="1"/>
  <c r="L709" i="1"/>
  <c r="L489" i="1"/>
  <c r="K489" i="1"/>
  <c r="K313" i="1"/>
  <c r="L313" i="1"/>
  <c r="K291" i="1"/>
  <c r="L291" i="1"/>
  <c r="K247" i="1"/>
  <c r="L247" i="1"/>
  <c r="K49" i="1"/>
  <c r="L49" i="1"/>
  <c r="K841" i="1"/>
  <c r="K810" i="1"/>
  <c r="K622" i="1"/>
  <c r="K427" i="1"/>
  <c r="K392" i="1"/>
  <c r="K361" i="1"/>
  <c r="K292" i="1"/>
  <c r="K115" i="1"/>
  <c r="K81" i="1"/>
  <c r="K14" i="1"/>
  <c r="L766" i="1"/>
  <c r="L700" i="1"/>
  <c r="L666" i="1"/>
  <c r="L556" i="1"/>
  <c r="L524" i="1"/>
  <c r="L491" i="1"/>
  <c r="L388" i="1"/>
  <c r="L349" i="1"/>
  <c r="L278" i="1"/>
  <c r="L862" i="1"/>
  <c r="K862" i="1"/>
  <c r="L818" i="1"/>
  <c r="K818" i="1"/>
  <c r="L774" i="1"/>
  <c r="K774" i="1"/>
  <c r="K708" i="1"/>
  <c r="L708" i="1"/>
  <c r="K664" i="1"/>
  <c r="L664" i="1"/>
  <c r="K488" i="1"/>
  <c r="L488" i="1"/>
  <c r="K202" i="1"/>
  <c r="L202" i="1"/>
  <c r="K180" i="1"/>
  <c r="L180" i="1"/>
  <c r="K92" i="1"/>
  <c r="L92" i="1"/>
  <c r="K48" i="1"/>
  <c r="L48" i="1"/>
  <c r="K621" i="1"/>
  <c r="K493" i="1"/>
  <c r="K425" i="1"/>
  <c r="K359" i="1"/>
  <c r="K254" i="1"/>
  <c r="K183" i="1"/>
  <c r="K80" i="1"/>
  <c r="L665" i="1"/>
  <c r="L555" i="1"/>
  <c r="L490" i="1"/>
  <c r="L348" i="1"/>
  <c r="L315" i="1"/>
  <c r="L163" i="1"/>
  <c r="L9" i="1"/>
  <c r="K620" i="1"/>
  <c r="K587" i="1"/>
  <c r="K521" i="1"/>
  <c r="K358" i="1"/>
  <c r="K323" i="1"/>
  <c r="K182" i="1"/>
  <c r="K12" i="1"/>
  <c r="L733" i="1"/>
  <c r="L451" i="1"/>
  <c r="L385" i="1"/>
  <c r="L314" i="1"/>
  <c r="L204" i="1"/>
  <c r="L948" i="1"/>
  <c r="K948" i="1"/>
  <c r="L926" i="1"/>
  <c r="K926" i="1"/>
  <c r="L904" i="1"/>
  <c r="K904" i="1"/>
  <c r="L662" i="1"/>
  <c r="K662" i="1"/>
  <c r="L640" i="1"/>
  <c r="K640" i="1"/>
  <c r="L618" i="1"/>
  <c r="K618" i="1"/>
  <c r="L530" i="1"/>
  <c r="K530" i="1"/>
  <c r="L442" i="1"/>
  <c r="K442" i="1"/>
  <c r="L398" i="1"/>
  <c r="K398" i="1"/>
  <c r="L266" i="1"/>
  <c r="K266" i="1"/>
  <c r="L156" i="1"/>
  <c r="K156" i="1"/>
  <c r="L90" i="1"/>
  <c r="K90" i="1"/>
  <c r="L46" i="1"/>
  <c r="K46" i="1"/>
  <c r="L24" i="1"/>
  <c r="K24" i="1"/>
  <c r="K933" i="1"/>
  <c r="K838" i="1"/>
  <c r="K775" i="1"/>
  <c r="K586" i="1"/>
  <c r="K520" i="1"/>
  <c r="K357" i="1"/>
  <c r="K251" i="1"/>
  <c r="K181" i="1"/>
  <c r="K112" i="1"/>
  <c r="K78" i="1"/>
  <c r="L899" i="1"/>
  <c r="L867" i="1"/>
  <c r="L763" i="1"/>
  <c r="L732" i="1"/>
  <c r="L657" i="1"/>
  <c r="L203" i="1"/>
  <c r="L161" i="1"/>
  <c r="L121" i="1"/>
  <c r="L7" i="1"/>
  <c r="K661" i="1"/>
  <c r="L661" i="1"/>
  <c r="L309" i="1"/>
  <c r="K309" i="1"/>
  <c r="K177" i="1"/>
  <c r="L177" i="1"/>
  <c r="L155" i="1"/>
  <c r="K155" i="1"/>
  <c r="L89" i="1"/>
  <c r="K89" i="1"/>
  <c r="K932" i="1"/>
  <c r="K745" i="1"/>
  <c r="K711" i="1"/>
  <c r="K486" i="1"/>
  <c r="K454" i="1"/>
  <c r="K420" i="1"/>
  <c r="K144" i="1"/>
  <c r="K111" i="1"/>
  <c r="K5" i="1"/>
  <c r="L898" i="1"/>
  <c r="L762" i="1"/>
  <c r="L415" i="1"/>
  <c r="L345" i="1"/>
  <c r="L239" i="1"/>
  <c r="L84" i="1"/>
  <c r="L6" i="1"/>
  <c r="K770" i="1"/>
  <c r="L770" i="1"/>
  <c r="L308" i="1"/>
  <c r="K308" i="1"/>
  <c r="L264" i="1"/>
  <c r="K264" i="1"/>
  <c r="L242" i="1"/>
  <c r="K242" i="1"/>
  <c r="K931" i="1"/>
  <c r="K804" i="1"/>
  <c r="K772" i="1"/>
  <c r="K710" i="1"/>
  <c r="K679" i="1"/>
  <c r="K648" i="1"/>
  <c r="K582" i="1"/>
  <c r="K518" i="1"/>
  <c r="K354" i="1"/>
  <c r="K320" i="1"/>
  <c r="K283" i="1"/>
  <c r="K178" i="1"/>
  <c r="K143" i="1"/>
  <c r="K110" i="1"/>
  <c r="K75" i="1"/>
  <c r="K4" i="1"/>
  <c r="L796" i="1"/>
  <c r="L691" i="1"/>
  <c r="L515" i="1"/>
  <c r="L271" i="1"/>
  <c r="L238" i="1"/>
  <c r="L119" i="1"/>
  <c r="L40" i="1"/>
  <c r="K928" i="1"/>
  <c r="K865" i="1"/>
  <c r="K803" i="1"/>
  <c r="K740" i="1"/>
  <c r="K678" i="1"/>
  <c r="K647" i="1"/>
  <c r="K613" i="1"/>
  <c r="K579" i="1"/>
  <c r="K517" i="1"/>
  <c r="K452" i="1"/>
  <c r="K383" i="1"/>
  <c r="K353" i="1"/>
  <c r="L825" i="1"/>
  <c r="L617" i="1"/>
  <c r="L583" i="1"/>
  <c r="L481" i="1"/>
  <c r="L341" i="1"/>
  <c r="L305" i="1"/>
  <c r="L270" i="1"/>
  <c r="L833" i="1"/>
  <c r="K833" i="1"/>
  <c r="L217" i="1"/>
  <c r="K217" i="1"/>
  <c r="L876" i="1"/>
  <c r="K876" i="1"/>
  <c r="L744" i="1"/>
  <c r="K744" i="1"/>
  <c r="K172" i="1"/>
  <c r="L172" i="1"/>
  <c r="K767" i="1"/>
  <c r="L789" i="1"/>
  <c r="L371" i="1"/>
  <c r="L854" i="1"/>
  <c r="L370" i="1"/>
  <c r="L939" i="1"/>
  <c r="K939" i="1"/>
  <c r="K455" i="1"/>
  <c r="L455" i="1"/>
  <c r="K887" i="1"/>
  <c r="K569" i="1"/>
  <c r="L609" i="1"/>
  <c r="L367" i="1"/>
  <c r="L718" i="1"/>
  <c r="K718" i="1"/>
  <c r="K410" i="1"/>
  <c r="L410" i="1"/>
  <c r="L344" i="1"/>
  <c r="K344" i="1"/>
  <c r="L234" i="1"/>
  <c r="K234" i="1"/>
  <c r="L954" i="1"/>
  <c r="L850" i="1"/>
  <c r="L785" i="1"/>
  <c r="L568" i="1"/>
  <c r="L260" i="1"/>
  <c r="K855" i="1"/>
  <c r="K634" i="1"/>
  <c r="L469" i="1"/>
  <c r="L936" i="1"/>
  <c r="K936" i="1"/>
  <c r="L870" i="1"/>
  <c r="K870" i="1"/>
  <c r="L848" i="1"/>
  <c r="K848" i="1"/>
  <c r="L716" i="1"/>
  <c r="K716" i="1"/>
  <c r="L650" i="1"/>
  <c r="K650" i="1"/>
  <c r="L584" i="1"/>
  <c r="K584" i="1"/>
  <c r="L430" i="1"/>
  <c r="K430" i="1"/>
  <c r="L386" i="1"/>
  <c r="K386" i="1"/>
  <c r="L364" i="1"/>
  <c r="K364" i="1"/>
  <c r="L232" i="1"/>
  <c r="K232" i="1"/>
  <c r="L122" i="1"/>
  <c r="K122" i="1"/>
  <c r="L34" i="1"/>
  <c r="K34" i="1"/>
  <c r="K819" i="1"/>
  <c r="K537" i="1"/>
  <c r="K405" i="1"/>
  <c r="K335" i="1"/>
  <c r="L534" i="1"/>
  <c r="L468" i="1"/>
  <c r="L433" i="1"/>
  <c r="L63" i="1"/>
  <c r="L473" i="1"/>
  <c r="K473" i="1"/>
  <c r="L429" i="1"/>
  <c r="K429" i="1"/>
  <c r="L231" i="1"/>
  <c r="K231" i="1"/>
  <c r="L77" i="1"/>
  <c r="K77" i="1"/>
  <c r="K914" i="1"/>
  <c r="K697" i="1"/>
  <c r="K565" i="1"/>
  <c r="K535" i="1"/>
  <c r="K437" i="1"/>
  <c r="K334" i="1"/>
  <c r="K227" i="1"/>
  <c r="K129" i="1"/>
  <c r="K58" i="1"/>
  <c r="L917" i="1"/>
  <c r="L811" i="1"/>
  <c r="L675" i="1"/>
  <c r="L601" i="1"/>
  <c r="L564" i="1"/>
  <c r="L533" i="1"/>
  <c r="L432" i="1"/>
  <c r="L327" i="1"/>
  <c r="L287" i="1"/>
  <c r="L216" i="1"/>
  <c r="L62" i="1"/>
  <c r="K802" i="1"/>
  <c r="L802" i="1"/>
  <c r="K604" i="1"/>
  <c r="L604" i="1"/>
  <c r="L296" i="1"/>
  <c r="K296" i="1"/>
  <c r="K913" i="1"/>
  <c r="K882" i="1"/>
  <c r="K816" i="1"/>
  <c r="K660" i="1"/>
  <c r="K596" i="1"/>
  <c r="K499" i="1"/>
  <c r="K467" i="1"/>
  <c r="K436" i="1"/>
  <c r="K226" i="1"/>
  <c r="K160" i="1"/>
  <c r="L910" i="1"/>
  <c r="L877" i="1"/>
  <c r="L326" i="1"/>
  <c r="L286" i="1"/>
  <c r="L97" i="1"/>
  <c r="K635" i="1"/>
  <c r="L635" i="1"/>
  <c r="K547" i="1"/>
  <c r="L547" i="1"/>
  <c r="L503" i="1"/>
  <c r="K503" i="1"/>
  <c r="L502" i="1"/>
  <c r="K502" i="1"/>
  <c r="K282" i="1"/>
  <c r="L282" i="1"/>
  <c r="K194" i="1"/>
  <c r="L194" i="1"/>
  <c r="K106" i="1"/>
  <c r="L106" i="1"/>
  <c r="K18" i="1"/>
  <c r="L18" i="1"/>
  <c r="L821" i="1"/>
  <c r="L788" i="1"/>
  <c r="K205" i="1"/>
  <c r="K279" i="1"/>
  <c r="L279" i="1"/>
  <c r="L125" i="1"/>
  <c r="K125" i="1"/>
  <c r="K59" i="1"/>
  <c r="L59" i="1"/>
  <c r="K920" i="1"/>
  <c r="L921" i="1"/>
  <c r="L851" i="1"/>
  <c r="L938" i="1"/>
  <c r="K938" i="1"/>
  <c r="K916" i="1"/>
  <c r="L916" i="1"/>
  <c r="K696" i="1"/>
  <c r="L696" i="1"/>
  <c r="K886" i="1"/>
  <c r="K235" i="1"/>
  <c r="K801" i="1"/>
  <c r="L801" i="1"/>
  <c r="L779" i="1"/>
  <c r="K779" i="1"/>
  <c r="K581" i="1"/>
  <c r="L581" i="1"/>
  <c r="K229" i="1"/>
  <c r="L229" i="1"/>
  <c r="K943" i="1"/>
  <c r="K498" i="1"/>
  <c r="K159" i="1"/>
  <c r="L908" i="1"/>
  <c r="K663" i="1"/>
  <c r="L663" i="1"/>
  <c r="L465" i="1"/>
  <c r="K465" i="1"/>
  <c r="K849" i="1"/>
  <c r="K201" i="1"/>
  <c r="L717" i="1"/>
  <c r="K717" i="1"/>
  <c r="K673" i="1"/>
  <c r="L673" i="1"/>
  <c r="K409" i="1"/>
  <c r="L409" i="1"/>
  <c r="L277" i="1"/>
  <c r="K277" i="1"/>
  <c r="L145" i="1"/>
  <c r="K145" i="1"/>
  <c r="L35" i="1"/>
  <c r="K35" i="1"/>
  <c r="K949" i="1"/>
  <c r="K487" i="1"/>
  <c r="L91" i="1"/>
  <c r="L479" i="1"/>
  <c r="K479" i="1"/>
  <c r="K610" i="1"/>
  <c r="K259" i="1"/>
  <c r="L478" i="1"/>
  <c r="K478" i="1"/>
  <c r="K743" i="1"/>
  <c r="K258" i="1"/>
  <c r="L170" i="1"/>
  <c r="L866" i="1"/>
  <c r="L624" i="1"/>
  <c r="L382" i="1"/>
  <c r="L52" i="1"/>
  <c r="L140" i="1"/>
</calcChain>
</file>

<file path=xl/sharedStrings.xml><?xml version="1.0" encoding="utf-8"?>
<sst xmlns="http://schemas.openxmlformats.org/spreadsheetml/2006/main" count="4823" uniqueCount="110">
  <si>
    <t>ideal_ligand</t>
  </si>
  <si>
    <t>protein</t>
  </si>
  <si>
    <t>ligand_native</t>
  </si>
  <si>
    <t>dock_type</t>
  </si>
  <si>
    <t>vina_affinity</t>
  </si>
  <si>
    <t>CNNpose</t>
  </si>
  <si>
    <t>CNNaffinity</t>
  </si>
  <si>
    <t>CNN_VS</t>
  </si>
  <si>
    <t>RMSD</t>
  </si>
  <si>
    <t>cas-103-16-2_min</t>
  </si>
  <si>
    <t>3UUD_A_fixed.pdb</t>
  </si>
  <si>
    <t>EST</t>
  </si>
  <si>
    <t>ideal_minimized</t>
  </si>
  <si>
    <t>4ZN7_A_fixed.pdb</t>
  </si>
  <si>
    <t>DES</t>
  </si>
  <si>
    <t>4MG8_A_fixed.pdb</t>
  </si>
  <si>
    <t>27J</t>
  </si>
  <si>
    <t>1ERE_A_fixed.pdb</t>
  </si>
  <si>
    <t>6CBZ_A_fixed.pdb</t>
  </si>
  <si>
    <t>4MGC_A_fixed.pdb</t>
  </si>
  <si>
    <t>27M</t>
  </si>
  <si>
    <t>1GWR_A_fixed.pdb</t>
  </si>
  <si>
    <t>4MG9_A_fixed.pdb</t>
  </si>
  <si>
    <t>27K</t>
  </si>
  <si>
    <t>4TUZ_A_fixed.pdb</t>
  </si>
  <si>
    <t>36J</t>
  </si>
  <si>
    <t>3ERD_A_fixed.pdb</t>
  </si>
  <si>
    <t>1G50_A_fixed.pdb</t>
  </si>
  <si>
    <t>3UU7_A_fixed.pdb</t>
  </si>
  <si>
    <t>2OH</t>
  </si>
  <si>
    <t>4MGA_A_fixed.pdb</t>
  </si>
  <si>
    <t>27L</t>
  </si>
  <si>
    <t>cas-104-43-8_min</t>
  </si>
  <si>
    <t>cas-1085-12-7_min</t>
  </si>
  <si>
    <t>cas-121-33-5_min</t>
  </si>
  <si>
    <t>cas-1229-24-9_min</t>
  </si>
  <si>
    <t>cas-126-00-1_min</t>
  </si>
  <si>
    <t>cas-13037-86-0_min</t>
  </si>
  <si>
    <t>cas-131-56-6_min</t>
  </si>
  <si>
    <t>cas-140-66-9_min</t>
  </si>
  <si>
    <t>cas-143-50-0_min</t>
  </si>
  <si>
    <t>cas-143-74-8_min</t>
  </si>
  <si>
    <t>cas-15372-34-6_min</t>
  </si>
  <si>
    <t>cas-1806-26-4_min</t>
  </si>
  <si>
    <t>cas-1845-11-0_min</t>
  </si>
  <si>
    <t>cas-1852-53-5_min</t>
  </si>
  <si>
    <t>cas-2050-68-2_min</t>
  </si>
  <si>
    <t>cas-218-01-9_min</t>
  </si>
  <si>
    <t>cas-243-17-4_min</t>
  </si>
  <si>
    <t>cas-25154-52-3_min</t>
  </si>
  <si>
    <t>cas-2529-64-8_min</t>
  </si>
  <si>
    <t>cas-28034-99-3_min</t>
  </si>
  <si>
    <t>cas-28463-03-8_min</t>
  </si>
  <si>
    <t>cas-2971-36-0_min</t>
  </si>
  <si>
    <t>cas-3434-79-5_min</t>
  </si>
  <si>
    <t>cas-3601-97-6_min</t>
  </si>
  <si>
    <t>cas-481-30-1_min</t>
  </si>
  <si>
    <t>cas-50-02-2_min</t>
  </si>
  <si>
    <t>cas-50-22-6_min</t>
  </si>
  <si>
    <t>cas-50-29-3_min</t>
  </si>
  <si>
    <t>cas-500-38-9_min</t>
  </si>
  <si>
    <t>cas-5108-94-1_min</t>
  </si>
  <si>
    <t>cas-5153-25-3_min</t>
  </si>
  <si>
    <t>cas-521-18-6_min</t>
  </si>
  <si>
    <t>cas-53-45-2_min</t>
  </si>
  <si>
    <t>cas-53905-28-5_min</t>
  </si>
  <si>
    <t>cas-5394-98-9_min</t>
  </si>
  <si>
    <t>cas-57-83-0_min</t>
  </si>
  <si>
    <t>cas-57-88-5_min</t>
  </si>
  <si>
    <t>cas-571-20-0_min</t>
  </si>
  <si>
    <t>cas-571-22-2_min</t>
  </si>
  <si>
    <t>cas-58-22-0_min</t>
  </si>
  <si>
    <t>cas-58-72-0_min</t>
  </si>
  <si>
    <t>cas-58-89-9_min</t>
  </si>
  <si>
    <t>cas-580-51-8_min</t>
  </si>
  <si>
    <t>cas-599-64-4_min</t>
  </si>
  <si>
    <t>cas-60-57-1_min</t>
  </si>
  <si>
    <t>cas-603-45-2_min</t>
  </si>
  <si>
    <t>cas-6052-84-2_min</t>
  </si>
  <si>
    <t>cas-611-99-4_min</t>
  </si>
  <si>
    <t>cas-65118-81-2_min</t>
  </si>
  <si>
    <t>cas-6554-98-9_min</t>
  </si>
  <si>
    <t>cas-659-22-3_min</t>
  </si>
  <si>
    <t>cas-67651-34-7_min</t>
  </si>
  <si>
    <t>cas-68-23-5_min</t>
  </si>
  <si>
    <t>cas-75938-34-0_min</t>
  </si>
  <si>
    <t>cas-77-09-8_min</t>
  </si>
  <si>
    <t>cas-77-40-7_min</t>
  </si>
  <si>
    <t>cas-7773-34-4_min</t>
  </si>
  <si>
    <t>cas-789-02-6_min</t>
  </si>
  <si>
    <t>cas-80-05-7_min</t>
  </si>
  <si>
    <t>cas-80-09-1_min</t>
  </si>
  <si>
    <t>cas-80-46-6_min</t>
  </si>
  <si>
    <t>cas-81-90-3_min</t>
  </si>
  <si>
    <t>cas-83-46-5_min</t>
  </si>
  <si>
    <t>cas-84-74-2_min</t>
  </si>
  <si>
    <t>cas-911-45-5_min</t>
  </si>
  <si>
    <t>cas-92-04-6_min</t>
  </si>
  <si>
    <t>cas-94-13-3_min</t>
  </si>
  <si>
    <t>cas-94-18-8_min</t>
  </si>
  <si>
    <t>cas-94-25-7_min</t>
  </si>
  <si>
    <t>cas-94-26-8_min</t>
  </si>
  <si>
    <t>cas-97-53-0_min</t>
  </si>
  <si>
    <t>cas-98-54-4_min</t>
  </si>
  <si>
    <t>cas-99-71-8_min</t>
  </si>
  <si>
    <t>CAS</t>
  </si>
  <si>
    <t>Ligand Type</t>
  </si>
  <si>
    <t>Ligand Name</t>
  </si>
  <si>
    <t>Source</t>
  </si>
  <si>
    <t>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</si>
</sst>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netid.sharepoint.com/sites/og_uwt_psi/Shared%20Documents/Machine%20Learning%20and%20Toxicology/Estrogen%20Receptor%20Determinations/ER%20Ligand%20Reference%20Table.xlsx" TargetMode="External"/><Relationship Id="rId1" Type="http://schemas.openxmlformats.org/officeDocument/2006/relationships/externalLinkPath" Target="https://uwnetid.sharepoint.com/sites/og_uwt_psi/Shared%20Documents/Machine%20Learning%20and%20Toxicology/Estrogen%20Receptor%20Determinations/ER%20Ligand%20Reference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Chem Name</v>
          </cell>
          <cell r="B1" t="str">
            <v>Cas Decimal</v>
          </cell>
          <cell r="C1" t="str">
            <v>RBA Determination</v>
          </cell>
          <cell r="D1" t="str">
            <v>Browne et al.</v>
          </cell>
          <cell r="E1" t="str">
            <v>Judson et al</v>
          </cell>
          <cell r="F1" t="str">
            <v>CERAPP_agonist</v>
          </cell>
          <cell r="G1" t="str">
            <v>CERAPP_antagonist</v>
          </cell>
        </row>
        <row r="2">
          <cell r="A2" t="str">
            <v>Ethynylestradiol</v>
          </cell>
          <cell r="B2" t="str">
            <v>57-63-6</v>
          </cell>
          <cell r="C2" t="str">
            <v>strong</v>
          </cell>
          <cell r="D2" t="str">
            <v>strong</v>
          </cell>
          <cell r="E2">
            <v>1</v>
          </cell>
          <cell r="F2" t="str">
            <v>Strong</v>
          </cell>
          <cell r="G2" t="str">
            <v>Strong</v>
          </cell>
        </row>
        <row r="3">
          <cell r="A3" t="str">
            <v>Hexestrol</v>
          </cell>
          <cell r="B3" t="str">
            <v>84-16-2</v>
          </cell>
          <cell r="C3" t="str">
            <v>strong</v>
          </cell>
          <cell r="D3" t="str">
            <v>strong</v>
          </cell>
          <cell r="E3">
            <v>0.99299999999999999</v>
          </cell>
          <cell r="F3" t="str">
            <v>Weak</v>
          </cell>
          <cell r="G3" t="str">
            <v>Strong</v>
          </cell>
        </row>
        <row r="4">
          <cell r="A4" t="str">
            <v>Diethylstilbestrol (DES)</v>
          </cell>
          <cell r="B4" t="str">
            <v>56-53-1</v>
          </cell>
          <cell r="C4" t="str">
            <v>strong</v>
          </cell>
          <cell r="D4" t="str">
            <v/>
          </cell>
          <cell r="E4">
            <v>0.94299999999999995</v>
          </cell>
          <cell r="F4" t="str">
            <v>Weak</v>
          </cell>
          <cell r="G4" t="str">
            <v>Strong</v>
          </cell>
        </row>
        <row r="5">
          <cell r="A5" t="str">
            <v>Dienestrol</v>
          </cell>
          <cell r="B5" t="str">
            <v>84-17-3</v>
          </cell>
          <cell r="C5" t="str">
            <v>strong</v>
          </cell>
          <cell r="D5" t="str">
            <v/>
          </cell>
          <cell r="E5" t="str">
            <v/>
          </cell>
          <cell r="F5" t="str">
            <v>Strong</v>
          </cell>
          <cell r="G5" t="str">
            <v>Strong</v>
          </cell>
        </row>
        <row r="6">
          <cell r="A6" t="str">
            <v>Estrone</v>
          </cell>
          <cell r="B6" t="str">
            <v>53-16-7</v>
          </cell>
          <cell r="C6" t="str">
            <v>strong</v>
          </cell>
          <cell r="D6" t="str">
            <v>moderate</v>
          </cell>
          <cell r="E6">
            <v>0.80700000000000005</v>
          </cell>
          <cell r="F6" t="str">
            <v>Strong</v>
          </cell>
          <cell r="G6" t="str">
            <v>Strong</v>
          </cell>
        </row>
        <row r="7">
          <cell r="A7" t="str">
            <v>Mestranol</v>
          </cell>
          <cell r="B7" t="str">
            <v>72-33-3</v>
          </cell>
          <cell r="C7" t="str">
            <v>strong</v>
          </cell>
          <cell r="D7" t="str">
            <v/>
          </cell>
          <cell r="E7">
            <v>0.74199999999999999</v>
          </cell>
          <cell r="F7" t="str">
            <v>Moderate</v>
          </cell>
          <cell r="G7" t="str">
            <v>Strong</v>
          </cell>
        </row>
        <row r="8">
          <cell r="A8" t="str">
            <v>17a-Estradiol</v>
          </cell>
          <cell r="B8" t="str">
            <v>57-91-0</v>
          </cell>
          <cell r="C8" t="str">
            <v>strong</v>
          </cell>
          <cell r="D8" t="str">
            <v>moderate</v>
          </cell>
          <cell r="E8">
            <v>1.06</v>
          </cell>
          <cell r="F8" t="str">
            <v>Strong</v>
          </cell>
          <cell r="G8" t="str">
            <v>Strong</v>
          </cell>
        </row>
        <row r="9">
          <cell r="A9" t="str">
            <v>Estriol</v>
          </cell>
          <cell r="B9" t="str">
            <v>50-27-1</v>
          </cell>
          <cell r="C9" t="str">
            <v>strong</v>
          </cell>
          <cell r="D9" t="str">
            <v/>
          </cell>
          <cell r="E9">
            <v>0.78600000000000003</v>
          </cell>
          <cell r="F9" t="str">
            <v>Strong</v>
          </cell>
          <cell r="G9" t="str">
            <v>Strong</v>
          </cell>
        </row>
        <row r="10">
          <cell r="A10" t="str">
            <v>17b-Estradiol (E2)</v>
          </cell>
          <cell r="B10" t="str">
            <v>50-28-2</v>
          </cell>
          <cell r="C10" t="str">
            <v>strong</v>
          </cell>
          <cell r="D10" t="str">
            <v>strong</v>
          </cell>
          <cell r="E10">
            <v>0.93500000000000005</v>
          </cell>
          <cell r="F10" t="str">
            <v>Strong</v>
          </cell>
          <cell r="G10" t="str">
            <v>Strong</v>
          </cell>
        </row>
        <row r="11">
          <cell r="A11" t="str">
            <v>Moxestrol</v>
          </cell>
          <cell r="B11" t="str">
            <v>34816-55-2</v>
          </cell>
          <cell r="C11" t="str">
            <v>strong</v>
          </cell>
          <cell r="D11" t="str">
            <v/>
          </cell>
          <cell r="E11" t="str">
            <v/>
          </cell>
          <cell r="F11" t="str">
            <v>Strong</v>
          </cell>
          <cell r="G11" t="str">
            <v>Strong</v>
          </cell>
        </row>
        <row r="12">
          <cell r="A12" t="str">
            <v>Equilin</v>
          </cell>
          <cell r="B12" t="str">
            <v>474-86-2</v>
          </cell>
          <cell r="E12">
            <v>0.82</v>
          </cell>
          <cell r="F12" t="str">
            <v>Strong</v>
          </cell>
          <cell r="G12" t="str">
            <v>Strong</v>
          </cell>
        </row>
        <row r="13">
          <cell r="A13" t="str">
            <v>4-OH-Estradiol</v>
          </cell>
          <cell r="B13" t="str">
            <v>5976-61-4</v>
          </cell>
          <cell r="C13" t="str">
            <v>strong</v>
          </cell>
          <cell r="D13" t="str">
            <v/>
          </cell>
          <cell r="E13" t="str">
            <v/>
          </cell>
          <cell r="F13" t="str">
            <v>Strong</v>
          </cell>
          <cell r="G13" t="str">
            <v>Strong</v>
          </cell>
        </row>
        <row r="14">
          <cell r="A14" t="str">
            <v>17-Deoxyestradiol</v>
          </cell>
          <cell r="B14" t="str">
            <v>53-63-4</v>
          </cell>
          <cell r="C14" t="str">
            <v>strong</v>
          </cell>
          <cell r="D14" t="str">
            <v/>
          </cell>
          <cell r="E14" t="str">
            <v/>
          </cell>
          <cell r="F14" t="str">
            <v>Strong</v>
          </cell>
          <cell r="G14" t="str">
            <v>Strong</v>
          </cell>
        </row>
        <row r="15">
          <cell r="A15" t="str">
            <v>2-OH-Estradiol</v>
          </cell>
          <cell r="B15" t="str">
            <v>362-05-0</v>
          </cell>
          <cell r="C15" t="str">
            <v>strong</v>
          </cell>
          <cell r="D15" t="str">
            <v/>
          </cell>
          <cell r="E15" t="str">
            <v/>
          </cell>
          <cell r="F15" t="str">
            <v>Strong</v>
          </cell>
          <cell r="G15" t="str">
            <v>Strong</v>
          </cell>
        </row>
        <row r="16">
          <cell r="A16" t="str">
            <v>Ethyl 4-hydroxybenzoate</v>
          </cell>
          <cell r="B16" t="str">
            <v>120-47-8</v>
          </cell>
          <cell r="C16" t="str">
            <v>weak</v>
          </cell>
          <cell r="D16" t="str">
            <v>veryweak</v>
          </cell>
          <cell r="E16">
            <v>8.6400000000000005E-2</v>
          </cell>
          <cell r="F16" t="str">
            <v>VeryWeak</v>
          </cell>
          <cell r="G16" t="str">
            <v>Weak</v>
          </cell>
        </row>
        <row r="17">
          <cell r="A17" t="str">
            <v>p,p'-DDE</v>
          </cell>
          <cell r="B17" t="str">
            <v>72-55-9</v>
          </cell>
          <cell r="C17" t="str">
            <v>weak</v>
          </cell>
          <cell r="D17" t="str">
            <v>veryweak</v>
          </cell>
          <cell r="E17">
            <v>6.7699999999999996E-2</v>
          </cell>
          <cell r="F17" t="str">
            <v>VeryWeak</v>
          </cell>
          <cell r="G17" t="str">
            <v>VeryWeak</v>
          </cell>
        </row>
        <row r="18">
          <cell r="A18" t="str">
            <v>p,p'-Methoxychlor</v>
          </cell>
          <cell r="B18" t="str">
            <v>72-43-5</v>
          </cell>
          <cell r="C18" t="str">
            <v>weak</v>
          </cell>
          <cell r="D18" t="str">
            <v>veryweak</v>
          </cell>
          <cell r="E18">
            <v>0.254</v>
          </cell>
          <cell r="F18" t="str">
            <v>VeryWeak</v>
          </cell>
          <cell r="G18" t="str">
            <v>Weak</v>
          </cell>
        </row>
        <row r="19">
          <cell r="A19" t="str">
            <v>o,p'-DDD</v>
          </cell>
          <cell r="B19" t="str">
            <v>53-19-0</v>
          </cell>
          <cell r="C19" t="str">
            <v>weak</v>
          </cell>
          <cell r="D19" t="str">
            <v/>
          </cell>
          <cell r="E19">
            <v>0.23599999999999999</v>
          </cell>
          <cell r="F19" t="str">
            <v>VeryWeak</v>
          </cell>
          <cell r="G19" t="str">
            <v>Weak</v>
          </cell>
        </row>
        <row r="20">
          <cell r="A20" t="str">
            <v>4-Chloro-3-methylphenol</v>
          </cell>
          <cell r="B20" t="str">
            <v>59-50-7</v>
          </cell>
          <cell r="C20" t="str">
            <v>weak</v>
          </cell>
          <cell r="D20" t="str">
            <v/>
          </cell>
          <cell r="E20">
            <v>2.8500000000000001E-2</v>
          </cell>
          <cell r="F20" t="str">
            <v>VeryWeak</v>
          </cell>
          <cell r="G20" t="str">
            <v>Weak</v>
          </cell>
        </row>
        <row r="21">
          <cell r="A21" t="str">
            <v>Bis(2-hydroxyphenyl)methane</v>
          </cell>
          <cell r="B21" t="str">
            <v>207-13-4</v>
          </cell>
          <cell r="C21" t="str">
            <v>weak</v>
          </cell>
          <cell r="D21" t="str">
            <v/>
          </cell>
          <cell r="E21">
            <v>3.0300000000000001E-2</v>
          </cell>
          <cell r="F21" t="str">
            <v>Weak</v>
          </cell>
          <cell r="G21" t="str">
            <v>Weak</v>
          </cell>
        </row>
        <row r="22">
          <cell r="A22" t="str">
            <v>4-Chloro-2-methyl phenol</v>
          </cell>
          <cell r="B22" t="str">
            <v>1570-64-5</v>
          </cell>
          <cell r="C22" t="str">
            <v>weak</v>
          </cell>
          <cell r="D22" t="str">
            <v/>
          </cell>
          <cell r="E22">
            <v>1.09E-2</v>
          </cell>
          <cell r="F22" t="str">
            <v>Suspicious</v>
          </cell>
          <cell r="G22" t="str">
            <v>VeryWeak</v>
          </cell>
        </row>
        <row r="23">
          <cell r="A23" t="str">
            <v>p,p'-DDD</v>
          </cell>
          <cell r="B23" t="str">
            <v>72-54-8</v>
          </cell>
          <cell r="C23" t="str">
            <v>weak</v>
          </cell>
          <cell r="D23" t="str">
            <v/>
          </cell>
          <cell r="E23">
            <v>7.2800000000000004E-2</v>
          </cell>
          <cell r="F23" t="str">
            <v>VeryWeak</v>
          </cell>
          <cell r="G23" t="str">
            <v>Suspicious</v>
          </cell>
        </row>
        <row r="24">
          <cell r="A24" t="str">
            <v>Isoeugenol</v>
          </cell>
          <cell r="B24" t="str">
            <v>97-54-1</v>
          </cell>
          <cell r="C24" t="str">
            <v>weak</v>
          </cell>
          <cell r="D24" t="str">
            <v/>
          </cell>
          <cell r="E24">
            <v>1.24E-2</v>
          </cell>
          <cell r="F24" t="str">
            <v>Weak</v>
          </cell>
          <cell r="G24" t="str">
            <v>Weak</v>
          </cell>
        </row>
        <row r="25">
          <cell r="A25" t="str">
            <v>Butylbenzylphthalate</v>
          </cell>
          <cell r="B25" t="str">
            <v>85-68-7</v>
          </cell>
          <cell r="C25" t="str">
            <v>weak</v>
          </cell>
          <cell r="D25" t="str">
            <v>veryweak</v>
          </cell>
          <cell r="E25">
            <v>0.17899999999999999</v>
          </cell>
          <cell r="F25" t="str">
            <v>Suspicious</v>
          </cell>
          <cell r="G25" t="str">
            <v>VeryWeak</v>
          </cell>
        </row>
        <row r="26">
          <cell r="A26" t="str">
            <v>2-Hydroxy biphenyl</v>
          </cell>
          <cell r="B26" t="str">
            <v>90-43-7</v>
          </cell>
          <cell r="C26" t="str">
            <v>weak</v>
          </cell>
          <cell r="D26" t="str">
            <v/>
          </cell>
          <cell r="E26">
            <v>5.4299999999999999E-3</v>
          </cell>
          <cell r="F26" t="str">
            <v>Weak</v>
          </cell>
          <cell r="G26" t="str">
            <v>VeryWeak</v>
          </cell>
        </row>
        <row r="27">
          <cell r="A27" t="str">
            <v>Methyl 4-hydroxybenzoate</v>
          </cell>
          <cell r="B27" t="str">
            <v>99-76-3</v>
          </cell>
          <cell r="C27" t="str">
            <v>weak</v>
          </cell>
          <cell r="D27" t="str">
            <v/>
          </cell>
          <cell r="E27">
            <v>6.8399999999999997E-3</v>
          </cell>
          <cell r="F27" t="str">
            <v>VeryWeak</v>
          </cell>
          <cell r="G27" t="str">
            <v>Suspicious</v>
          </cell>
        </row>
        <row r="28">
          <cell r="A28" t="str">
            <v>4-Hydroxybiphenyl</v>
          </cell>
          <cell r="B28" t="str">
            <v>92-69-3</v>
          </cell>
          <cell r="C28" t="str">
            <v>weak</v>
          </cell>
          <cell r="D28" t="str">
            <v/>
          </cell>
          <cell r="E28">
            <v>0.219</v>
          </cell>
          <cell r="F28" t="str">
            <v>VeryWeak</v>
          </cell>
          <cell r="G28" t="str">
            <v>Weak</v>
          </cell>
        </row>
        <row r="29">
          <cell r="A29" t="str">
            <v>cinnamic acid</v>
          </cell>
          <cell r="B29" t="str">
            <v>140-10-3</v>
          </cell>
          <cell r="C29" t="str">
            <v>weak</v>
          </cell>
          <cell r="D29" t="str">
            <v/>
          </cell>
          <cell r="E29">
            <v>0.10100000000000001</v>
          </cell>
          <cell r="F29" t="str">
            <v>Suspicious</v>
          </cell>
          <cell r="G29" t="str">
            <v>VeryWeak</v>
          </cell>
        </row>
        <row r="30">
          <cell r="A30" t="str">
            <v>2-OH-4-Methoxy-benzophenone</v>
          </cell>
          <cell r="B30" t="str">
            <v>131-57-7</v>
          </cell>
          <cell r="C30" t="str">
            <v>weak</v>
          </cell>
          <cell r="D30" t="str">
            <v/>
          </cell>
          <cell r="E30">
            <v>6.4500000000000002E-2</v>
          </cell>
          <cell r="F30" t="str">
            <v>VeryWeak</v>
          </cell>
          <cell r="G30" t="str">
            <v>Weak</v>
          </cell>
        </row>
        <row r="31">
          <cell r="A31" t="str">
            <v>Endosulfan</v>
          </cell>
          <cell r="B31" t="str">
            <v>115-29-7</v>
          </cell>
          <cell r="C31" t="str">
            <v>weak</v>
          </cell>
          <cell r="D31" t="str">
            <v/>
          </cell>
          <cell r="E31">
            <v>2.9499999999999998E-2</v>
          </cell>
          <cell r="F31" t="str">
            <v>Suspicious</v>
          </cell>
          <cell r="G31" t="str">
            <v>VeryWeak</v>
          </cell>
        </row>
        <row r="32">
          <cell r="A32" t="str">
            <v>Triphenyl phosphate</v>
          </cell>
          <cell r="B32" t="str">
            <v>115-86-6</v>
          </cell>
          <cell r="C32" t="str">
            <v>weak</v>
          </cell>
          <cell r="D32" t="str">
            <v/>
          </cell>
          <cell r="E32">
            <v>6.4100000000000004E-2</v>
          </cell>
          <cell r="F32" t="str">
            <v>Suspicious</v>
          </cell>
          <cell r="G32" t="str">
            <v>VeryWeak</v>
          </cell>
        </row>
        <row r="33">
          <cell r="A33" t="str">
            <v>4-Ethylphenol</v>
          </cell>
          <cell r="B33" t="str">
            <v>123-07-9</v>
          </cell>
          <cell r="C33" t="str">
            <v>weak</v>
          </cell>
          <cell r="D33" t="str">
            <v/>
          </cell>
          <cell r="E33">
            <v>3.5200000000000001E-3</v>
          </cell>
          <cell r="F33" t="str">
            <v>Suspicious</v>
          </cell>
          <cell r="G33" t="str">
            <v>VeryWeak</v>
          </cell>
        </row>
        <row r="34">
          <cell r="A34" t="str">
            <v>di-i-Butyl phthalate (DIBP)</v>
          </cell>
          <cell r="B34" t="str">
            <v>84-69-5</v>
          </cell>
          <cell r="C34" t="str">
            <v>weak</v>
          </cell>
          <cell r="D34" t="str">
            <v/>
          </cell>
          <cell r="E34">
            <v>2.8299999999999999E-2</v>
          </cell>
          <cell r="F34" t="str">
            <v>Suspicious</v>
          </cell>
          <cell r="G34" t="str">
            <v>VeryWeak</v>
          </cell>
        </row>
        <row r="35">
          <cell r="A35" t="str">
            <v>Epitestesterone</v>
          </cell>
          <cell r="B35" t="str">
            <v>481-30-1</v>
          </cell>
          <cell r="C35" t="str">
            <v>weak</v>
          </cell>
          <cell r="D35" t="str">
            <v/>
          </cell>
          <cell r="E35" t="str">
            <v/>
          </cell>
          <cell r="F35" t="str">
            <v>VeryWeak</v>
          </cell>
          <cell r="G35" t="str">
            <v>Moderate</v>
          </cell>
        </row>
        <row r="36">
          <cell r="A36" t="str">
            <v>di-n-Butyl phthalate (DBuP)</v>
          </cell>
          <cell r="B36" t="str">
            <v>84-74-2</v>
          </cell>
          <cell r="C36" t="str">
            <v>weak</v>
          </cell>
          <cell r="D36" t="str">
            <v>veryweak</v>
          </cell>
          <cell r="E36">
            <v>2.6499999999999999E-2</v>
          </cell>
          <cell r="F36" t="str">
            <v>Inactive</v>
          </cell>
          <cell r="G36" t="str">
            <v>Inactive</v>
          </cell>
        </row>
        <row r="37">
          <cell r="A37" t="str">
            <v>17b-Hydroxyetiocholan-3-one</v>
          </cell>
          <cell r="B37" t="str">
            <v>571-22-2</v>
          </cell>
          <cell r="C37" t="str">
            <v>weak</v>
          </cell>
          <cell r="D37" t="str">
            <v/>
          </cell>
          <cell r="E37" t="str">
            <v/>
          </cell>
          <cell r="F37" t="str">
            <v>Weak</v>
          </cell>
          <cell r="G37" t="str">
            <v>Strong</v>
          </cell>
        </row>
        <row r="38">
          <cell r="A38" t="str">
            <v>Chrysene</v>
          </cell>
          <cell r="B38" t="str">
            <v>218-01-9</v>
          </cell>
          <cell r="C38" t="str">
            <v>weak</v>
          </cell>
          <cell r="D38" t="str">
            <v/>
          </cell>
          <cell r="E38" t="str">
            <v/>
          </cell>
          <cell r="F38" t="str">
            <v>Weak</v>
          </cell>
          <cell r="G38" t="str">
            <v>Moderate</v>
          </cell>
        </row>
        <row r="39">
          <cell r="A39" t="str">
            <v>"2,4-Hydroxybenzophenone"</v>
          </cell>
          <cell r="B39" t="str">
            <v>131-56-6</v>
          </cell>
          <cell r="C39" t="str">
            <v>weak</v>
          </cell>
          <cell r="D39" t="str">
            <v/>
          </cell>
          <cell r="E39">
            <v>0.26600000000000001</v>
          </cell>
          <cell r="F39" t="str">
            <v>Weak</v>
          </cell>
          <cell r="G39" t="str">
            <v>Moderate</v>
          </cell>
        </row>
        <row r="40">
          <cell r="A40" t="str">
            <v>Phenol red</v>
          </cell>
          <cell r="B40" t="str">
            <v>143-74-8</v>
          </cell>
          <cell r="C40" t="str">
            <v>weak</v>
          </cell>
          <cell r="D40" t="str">
            <v/>
          </cell>
          <cell r="E40">
            <v>4.0899999999999999E-2</v>
          </cell>
          <cell r="F40" t="str">
            <v>Weak</v>
          </cell>
          <cell r="G40" t="str">
            <v>Moderate</v>
          </cell>
        </row>
        <row r="41">
          <cell r="A41" t="str">
            <v>Lindane (gama-HCH)</v>
          </cell>
          <cell r="B41" t="str">
            <v>58-89-9</v>
          </cell>
          <cell r="C41" t="str">
            <v>weak</v>
          </cell>
          <cell r="D41" t="str">
            <v/>
          </cell>
          <cell r="E41">
            <v>3.0599999999999998E-3</v>
          </cell>
          <cell r="F41" t="str">
            <v>Inactive</v>
          </cell>
          <cell r="G41" t="str">
            <v>Inactive</v>
          </cell>
        </row>
        <row r="42">
          <cell r="A42" t="str">
            <v>Dieldrin</v>
          </cell>
          <cell r="B42" t="str">
            <v>60-57-1</v>
          </cell>
          <cell r="C42" t="str">
            <v>weak</v>
          </cell>
          <cell r="D42" t="str">
            <v/>
          </cell>
          <cell r="E42">
            <v>1.8100000000000002E-2</v>
          </cell>
          <cell r="F42" t="str">
            <v>Inactive</v>
          </cell>
          <cell r="G42" t="str">
            <v>Inactive</v>
          </cell>
        </row>
        <row r="43">
          <cell r="A43" t="str">
            <v>Dexamethasone</v>
          </cell>
          <cell r="B43" t="str">
            <v>50-02-2</v>
          </cell>
          <cell r="C43" t="str">
            <v>weak</v>
          </cell>
          <cell r="D43" t="str">
            <v/>
          </cell>
          <cell r="E43" t="str">
            <v/>
          </cell>
          <cell r="F43" t="str">
            <v>Moderate</v>
          </cell>
          <cell r="G43" t="str">
            <v>Weak</v>
          </cell>
        </row>
        <row r="44">
          <cell r="A44" t="str">
            <v>Phenolphthalin</v>
          </cell>
          <cell r="B44" t="str">
            <v>81-90-3</v>
          </cell>
          <cell r="C44" t="str">
            <v>weak</v>
          </cell>
          <cell r="D44" t="str">
            <v/>
          </cell>
          <cell r="E44">
            <v>4.5900000000000003E-2</v>
          </cell>
          <cell r="F44" t="str">
            <v>Moderate</v>
          </cell>
          <cell r="G44" t="str">
            <v>Moderate</v>
          </cell>
        </row>
        <row r="45">
          <cell r="A45" t="str">
            <v>"4,4'-Sulfonyldiphenol"</v>
          </cell>
          <cell r="B45" t="str">
            <v>80-09-1</v>
          </cell>
          <cell r="C45" t="str">
            <v>weak</v>
          </cell>
          <cell r="D45" t="str">
            <v/>
          </cell>
          <cell r="E45">
            <v>0.26300000000000001</v>
          </cell>
          <cell r="F45" t="str">
            <v>VeryWeak</v>
          </cell>
          <cell r="G45" t="str">
            <v>Moderate</v>
          </cell>
        </row>
        <row r="46">
          <cell r="A46" t="str">
            <v>"4,4'-Dichlorobiphenyl"</v>
          </cell>
          <cell r="B46" t="str">
            <v>2050-68-2</v>
          </cell>
          <cell r="C46" t="str">
            <v>weak</v>
          </cell>
          <cell r="D46" t="str">
            <v/>
          </cell>
          <cell r="E46" t="str">
            <v/>
          </cell>
          <cell r="F46" t="str">
            <v>Suspicious</v>
          </cell>
          <cell r="G46" t="str">
            <v>VeryWeak</v>
          </cell>
        </row>
        <row r="47">
          <cell r="A47" t="str">
            <v>Dihydrotestosterone</v>
          </cell>
          <cell r="B47" t="str">
            <v>521-18-6</v>
          </cell>
          <cell r="C47" t="str">
            <v>weak</v>
          </cell>
          <cell r="D47" t="str">
            <v>weak</v>
          </cell>
          <cell r="E47">
            <v>0.4</v>
          </cell>
          <cell r="F47" t="str">
            <v>Weak</v>
          </cell>
          <cell r="G47" t="str">
            <v>Strong</v>
          </cell>
        </row>
        <row r="48">
          <cell r="A48" t="str">
            <v>4-n-Octylphenol</v>
          </cell>
          <cell r="B48" t="str">
            <v>1806-26-4</v>
          </cell>
          <cell r="C48" t="str">
            <v>weak</v>
          </cell>
          <cell r="D48" t="str">
            <v/>
          </cell>
          <cell r="E48">
            <v>0.11799999999999999</v>
          </cell>
          <cell r="F48" t="str">
            <v>VeryWeak</v>
          </cell>
          <cell r="G48" t="str">
            <v>Moderate</v>
          </cell>
        </row>
        <row r="49">
          <cell r="A49" t="str">
            <v>3a-Androstanediol</v>
          </cell>
          <cell r="B49" t="str">
            <v>1852-53-5</v>
          </cell>
          <cell r="C49" t="str">
            <v>weak</v>
          </cell>
          <cell r="D49" t="str">
            <v/>
          </cell>
          <cell r="E49" t="str">
            <v/>
          </cell>
          <cell r="F49" t="str">
            <v>Weak</v>
          </cell>
          <cell r="G49" t="str">
            <v>Strong</v>
          </cell>
        </row>
        <row r="50">
          <cell r="A50" t="str">
            <v>Doisynoestrol</v>
          </cell>
          <cell r="B50" t="str">
            <v>15372-34-6</v>
          </cell>
          <cell r="C50" t="str">
            <v>weak</v>
          </cell>
          <cell r="D50" t="str">
            <v/>
          </cell>
          <cell r="E50" t="str">
            <v/>
          </cell>
          <cell r="F50" t="str">
            <v>VeryWeak</v>
          </cell>
          <cell r="G50" t="str">
            <v>Moderate</v>
          </cell>
        </row>
        <row r="51">
          <cell r="A51" t="str">
            <v>4-Heptyloxyphenol</v>
          </cell>
          <cell r="B51" t="str">
            <v>13037-86-0</v>
          </cell>
          <cell r="C51" t="str">
            <v>weak</v>
          </cell>
          <cell r="D51" t="str">
            <v/>
          </cell>
          <cell r="E51" t="str">
            <v/>
          </cell>
          <cell r="F51" t="str">
            <v>VeryWeak</v>
          </cell>
          <cell r="G51" t="str">
            <v>Moderate</v>
          </cell>
        </row>
        <row r="52">
          <cell r="A52" t="str">
            <v>4-Amino butylbenzoate</v>
          </cell>
          <cell r="B52" t="str">
            <v>94-25-7</v>
          </cell>
          <cell r="C52" t="str">
            <v>weak</v>
          </cell>
          <cell r="D52" t="str">
            <v/>
          </cell>
          <cell r="E52" t="str">
            <v/>
          </cell>
          <cell r="F52" t="str">
            <v>VeryWeak</v>
          </cell>
          <cell r="G52" t="str">
            <v>Suspicious</v>
          </cell>
        </row>
        <row r="53">
          <cell r="A53" t="str">
            <v>Heptyl p-hydroxybenzoate</v>
          </cell>
          <cell r="B53" t="str">
            <v>1085-12-7</v>
          </cell>
          <cell r="C53" t="str">
            <v>weak</v>
          </cell>
          <cell r="D53" t="str">
            <v/>
          </cell>
          <cell r="E53">
            <v>0.26900000000000002</v>
          </cell>
          <cell r="F53" t="str">
            <v>Weak</v>
          </cell>
          <cell r="G53" t="str">
            <v>Strong</v>
          </cell>
        </row>
        <row r="54">
          <cell r="A54" t="str">
            <v>p-Cumyl phenol</v>
          </cell>
          <cell r="B54" t="str">
            <v>599-64-4</v>
          </cell>
          <cell r="C54" t="str">
            <v>weak</v>
          </cell>
          <cell r="D54" t="str">
            <v>weak</v>
          </cell>
          <cell r="E54">
            <v>0.376</v>
          </cell>
          <cell r="F54" t="str">
            <v>Weak</v>
          </cell>
          <cell r="G54" t="str">
            <v>Strong</v>
          </cell>
        </row>
        <row r="55">
          <cell r="A55" t="str">
            <v>Cholesterol</v>
          </cell>
          <cell r="B55" t="str">
            <v>57-88-5</v>
          </cell>
          <cell r="C55" t="str">
            <v>weak</v>
          </cell>
          <cell r="D55" t="str">
            <v/>
          </cell>
          <cell r="E55" t="str">
            <v/>
          </cell>
          <cell r="F55" t="str">
            <v>VeryWeak</v>
          </cell>
          <cell r="G55" t="str">
            <v>Moderate</v>
          </cell>
        </row>
        <row r="56">
          <cell r="A56" t="str">
            <v>n-Butyl 4-hydroxybenzoate</v>
          </cell>
          <cell r="B56" t="str">
            <v>94-26-8</v>
          </cell>
          <cell r="C56" t="str">
            <v>weak</v>
          </cell>
          <cell r="D56" t="str">
            <v/>
          </cell>
          <cell r="E56">
            <v>0.251</v>
          </cell>
          <cell r="F56" t="str">
            <v>Weak</v>
          </cell>
          <cell r="G56" t="str">
            <v>Strong</v>
          </cell>
        </row>
        <row r="57">
          <cell r="A57" t="str">
            <v>4-tert-Butylphenol</v>
          </cell>
          <cell r="B57" t="str">
            <v>98-54-4</v>
          </cell>
          <cell r="C57" t="str">
            <v>weak</v>
          </cell>
          <cell r="D57" t="str">
            <v/>
          </cell>
          <cell r="E57">
            <v>0.161</v>
          </cell>
          <cell r="F57" t="str">
            <v>VeryWeak</v>
          </cell>
          <cell r="G57" t="str">
            <v>Strong</v>
          </cell>
        </row>
        <row r="58">
          <cell r="A58" t="str">
            <v>Testosterone</v>
          </cell>
          <cell r="B58" t="str">
            <v>58-22-0</v>
          </cell>
          <cell r="C58" t="str">
            <v>weak</v>
          </cell>
          <cell r="D58" t="str">
            <v/>
          </cell>
          <cell r="E58" t="str">
            <v/>
          </cell>
          <cell r="F58" t="str">
            <v>VeryWeak</v>
          </cell>
          <cell r="G58" t="str">
            <v>Moderate</v>
          </cell>
        </row>
        <row r="59">
          <cell r="A59" t="str">
            <v>4-Chloro-4'-biphenylol</v>
          </cell>
          <cell r="B59" t="str">
            <v>28034-99-3</v>
          </cell>
          <cell r="C59" t="str">
            <v>weak</v>
          </cell>
          <cell r="D59" t="str">
            <v/>
          </cell>
          <cell r="E59" t="str">
            <v/>
          </cell>
          <cell r="F59" t="str">
            <v>Weak</v>
          </cell>
          <cell r="G59" t="str">
            <v>Moderate</v>
          </cell>
        </row>
        <row r="60">
          <cell r="A60" t="str">
            <v>Corticosterone</v>
          </cell>
          <cell r="B60" t="str">
            <v>50-22-6</v>
          </cell>
          <cell r="C60" t="str">
            <v>weak</v>
          </cell>
          <cell r="D60" t="str">
            <v/>
          </cell>
          <cell r="E60">
            <v>5.6400000000000002E-5</v>
          </cell>
          <cell r="F60" t="str">
            <v>VeryWeak</v>
          </cell>
          <cell r="G60" t="str">
            <v>Moderate</v>
          </cell>
        </row>
        <row r="61">
          <cell r="A61" t="str">
            <v>Benzyl 4-hydroxybenzoate</v>
          </cell>
          <cell r="B61" t="str">
            <v>94-18-8</v>
          </cell>
          <cell r="C61" t="str">
            <v>weak</v>
          </cell>
          <cell r="D61" t="str">
            <v/>
          </cell>
          <cell r="E61">
            <v>0.23400000000000001</v>
          </cell>
          <cell r="F61" t="str">
            <v>VeryWeak</v>
          </cell>
          <cell r="G61" t="str">
            <v>Moderate</v>
          </cell>
        </row>
        <row r="62">
          <cell r="A62" t="str">
            <v>"2,3-Benzofluorene"</v>
          </cell>
          <cell r="B62" t="str">
            <v>243-17-4</v>
          </cell>
          <cell r="C62" t="str">
            <v>weak</v>
          </cell>
          <cell r="D62" t="str">
            <v/>
          </cell>
          <cell r="E62" t="str">
            <v/>
          </cell>
          <cell r="F62" t="str">
            <v>Weak</v>
          </cell>
          <cell r="G62" t="str">
            <v>Moderate</v>
          </cell>
        </row>
        <row r="63">
          <cell r="A63" t="str">
            <v>3-Deoxy-estrone</v>
          </cell>
          <cell r="B63" t="str">
            <v>53-45-2</v>
          </cell>
          <cell r="C63" t="str">
            <v>weak</v>
          </cell>
          <cell r="D63" t="str">
            <v/>
          </cell>
          <cell r="E63" t="str">
            <v/>
          </cell>
          <cell r="F63" t="str">
            <v>Weak</v>
          </cell>
          <cell r="G63" t="str">
            <v>Strong</v>
          </cell>
        </row>
        <row r="64">
          <cell r="A64" t="str">
            <v>Vanillin</v>
          </cell>
          <cell r="B64" t="str">
            <v>121-33-5</v>
          </cell>
          <cell r="C64" t="str">
            <v>weak</v>
          </cell>
          <cell r="D64" t="str">
            <v/>
          </cell>
          <cell r="E64">
            <v>0</v>
          </cell>
          <cell r="F64" t="str">
            <v>VeryWeak</v>
          </cell>
          <cell r="G64" t="str">
            <v>Suspicious</v>
          </cell>
        </row>
        <row r="65">
          <cell r="A65" t="str">
            <v>4-tert-Amylphenol</v>
          </cell>
          <cell r="B65" t="str">
            <v>80-46-6</v>
          </cell>
          <cell r="C65" t="str">
            <v>weak</v>
          </cell>
          <cell r="D65" t="str">
            <v/>
          </cell>
          <cell r="E65">
            <v>0.28199999999999997</v>
          </cell>
          <cell r="F65" t="str">
            <v>Weak</v>
          </cell>
          <cell r="G65" t="str">
            <v>Strong</v>
          </cell>
        </row>
        <row r="66">
          <cell r="A66" t="str">
            <v>Eugenol</v>
          </cell>
          <cell r="B66" t="str">
            <v>97-53-0</v>
          </cell>
          <cell r="C66" t="str">
            <v>weak</v>
          </cell>
          <cell r="D66" t="str">
            <v/>
          </cell>
          <cell r="E66">
            <v>0</v>
          </cell>
          <cell r="F66" t="str">
            <v>Weak</v>
          </cell>
          <cell r="G66" t="str">
            <v>Weak</v>
          </cell>
        </row>
        <row r="67">
          <cell r="A67" t="str">
            <v>"p,p'-DDT"</v>
          </cell>
          <cell r="B67" t="str">
            <v>50-29-3</v>
          </cell>
          <cell r="C67" t="str">
            <v>weak</v>
          </cell>
          <cell r="D67" t="str">
            <v/>
          </cell>
          <cell r="E67">
            <v>0.19</v>
          </cell>
          <cell r="F67" t="str">
            <v>VeryWeak</v>
          </cell>
          <cell r="G67" t="str">
            <v>Moderate</v>
          </cell>
        </row>
        <row r="68">
          <cell r="A68" t="str">
            <v>Bisphenol A</v>
          </cell>
          <cell r="B68" t="str">
            <v>80-05-7</v>
          </cell>
          <cell r="C68" t="str">
            <v>weak</v>
          </cell>
          <cell r="D68" t="str">
            <v>weak</v>
          </cell>
          <cell r="E68">
            <v>0.45</v>
          </cell>
          <cell r="F68" t="str">
            <v>Weak</v>
          </cell>
          <cell r="G68" t="str">
            <v>Strong</v>
          </cell>
        </row>
        <row r="69">
          <cell r="A69" t="str">
            <v>2-Chloro-4-biphenylol</v>
          </cell>
          <cell r="B69" t="str">
            <v>92-04-6</v>
          </cell>
          <cell r="C69" t="str">
            <v>weak</v>
          </cell>
          <cell r="D69" t="str">
            <v/>
          </cell>
          <cell r="E69">
            <v>0.13800000000000001</v>
          </cell>
          <cell r="F69" t="str">
            <v>VeryWeak</v>
          </cell>
          <cell r="G69" t="str">
            <v>Moderate</v>
          </cell>
        </row>
        <row r="70">
          <cell r="A70" t="str">
            <v>3-Phenylphenol</v>
          </cell>
          <cell r="B70" t="str">
            <v>580-51-8</v>
          </cell>
          <cell r="C70" t="str">
            <v>weak</v>
          </cell>
          <cell r="D70" t="str">
            <v/>
          </cell>
          <cell r="E70" t="str">
            <v/>
          </cell>
          <cell r="F70" t="str">
            <v>Moderate</v>
          </cell>
          <cell r="G70" t="str">
            <v>Weak</v>
          </cell>
        </row>
        <row r="71">
          <cell r="A71" t="str">
            <v>Trans-4-hydroxystilbene</v>
          </cell>
          <cell r="B71" t="str">
            <v>6554-98-9</v>
          </cell>
          <cell r="C71" t="str">
            <v>weak</v>
          </cell>
          <cell r="D71" t="str">
            <v/>
          </cell>
          <cell r="E71" t="str">
            <v/>
          </cell>
          <cell r="F71" t="str">
            <v>Moderate</v>
          </cell>
          <cell r="G71" t="str">
            <v>Moderate</v>
          </cell>
        </row>
        <row r="72">
          <cell r="A72" t="str">
            <v>4-(Benzyloxyl)phenol</v>
          </cell>
          <cell r="B72" t="str">
            <v>103-16-2</v>
          </cell>
          <cell r="C72" t="str">
            <v>weak</v>
          </cell>
          <cell r="D72" t="str">
            <v/>
          </cell>
          <cell r="E72" t="str">
            <v/>
          </cell>
          <cell r="F72" t="str">
            <v>VeryWeak</v>
          </cell>
          <cell r="G72" t="str">
            <v>Moderate</v>
          </cell>
        </row>
        <row r="73">
          <cell r="A73" t="str">
            <v>n-Propyl 4-hydroxybenzoate</v>
          </cell>
          <cell r="B73" t="str">
            <v>94-13-3</v>
          </cell>
          <cell r="C73" t="str">
            <v>weak</v>
          </cell>
          <cell r="D73" t="str">
            <v/>
          </cell>
          <cell r="E73">
            <v>0.20499999999999999</v>
          </cell>
          <cell r="F73" t="str">
            <v>Weak</v>
          </cell>
          <cell r="G73" t="str">
            <v>Strong</v>
          </cell>
        </row>
        <row r="74">
          <cell r="A74" t="str">
            <v>Triphenylethylene</v>
          </cell>
          <cell r="B74" t="str">
            <v>58-72-0</v>
          </cell>
          <cell r="C74" t="str">
            <v>weak</v>
          </cell>
          <cell r="D74" t="str">
            <v/>
          </cell>
          <cell r="E74">
            <v>0.38300000000000001</v>
          </cell>
          <cell r="F74" t="str">
            <v>VeryWeak</v>
          </cell>
          <cell r="G74" t="str">
            <v>Moderate</v>
          </cell>
        </row>
        <row r="75">
          <cell r="A75" t="str">
            <v>Sitosterol</v>
          </cell>
          <cell r="B75" t="str">
            <v>83-46-5</v>
          </cell>
          <cell r="C75" t="str">
            <v>weak</v>
          </cell>
          <cell r="D75" t="str">
            <v/>
          </cell>
          <cell r="E75" t="str">
            <v/>
          </cell>
          <cell r="F75" t="str">
            <v>VeryWeak</v>
          </cell>
          <cell r="G75" t="str">
            <v>Moderate</v>
          </cell>
        </row>
        <row r="76">
          <cell r="A76" t="str">
            <v>"4,4'-Dihydoxy-benzophenone"</v>
          </cell>
          <cell r="B76" t="str">
            <v>611-99-4</v>
          </cell>
          <cell r="C76" t="str">
            <v>weak</v>
          </cell>
          <cell r="D76" t="str">
            <v/>
          </cell>
          <cell r="E76" t="str">
            <v/>
          </cell>
          <cell r="F76" t="str">
            <v>VeryWeak</v>
          </cell>
          <cell r="G76" t="str">
            <v>Moderate</v>
          </cell>
        </row>
        <row r="77">
          <cell r="A77" t="str">
            <v>4-sec-Butylphenol</v>
          </cell>
          <cell r="B77" t="str">
            <v>99-71-8</v>
          </cell>
          <cell r="C77" t="str">
            <v>weak</v>
          </cell>
          <cell r="D77" t="str">
            <v/>
          </cell>
          <cell r="E77">
            <v>0.16300000000000001</v>
          </cell>
          <cell r="F77" t="str">
            <v>Weak</v>
          </cell>
          <cell r="G77" t="str">
            <v>Strong</v>
          </cell>
        </row>
        <row r="78">
          <cell r="A78" t="str">
            <v>Diphenolic acid</v>
          </cell>
          <cell r="B78" t="str">
            <v>126-00-1</v>
          </cell>
          <cell r="C78" t="str">
            <v>weak</v>
          </cell>
          <cell r="D78" t="str">
            <v/>
          </cell>
          <cell r="E78">
            <v>0.17399999999999999</v>
          </cell>
          <cell r="F78" t="str">
            <v>Weak</v>
          </cell>
          <cell r="G78" t="str">
            <v>Strong</v>
          </cell>
        </row>
        <row r="79">
          <cell r="A79" t="str">
            <v>"o,p'-DDT"</v>
          </cell>
          <cell r="B79" t="str">
            <v>789-02-6</v>
          </cell>
          <cell r="C79" t="str">
            <v>weak</v>
          </cell>
          <cell r="D79" t="str">
            <v>weak</v>
          </cell>
          <cell r="E79">
            <v>0.38500000000000001</v>
          </cell>
          <cell r="F79" t="str">
            <v>VeryWeak</v>
          </cell>
          <cell r="G79" t="str">
            <v>Moderate</v>
          </cell>
        </row>
        <row r="80">
          <cell r="A80" t="str">
            <v>Progesterone</v>
          </cell>
          <cell r="B80" t="str">
            <v>57-83-0</v>
          </cell>
          <cell r="C80" t="str">
            <v>weak</v>
          </cell>
          <cell r="D80" t="str">
            <v/>
          </cell>
          <cell r="E80">
            <v>5.0700000000000002E-2</v>
          </cell>
          <cell r="F80" t="str">
            <v>VeryWeak</v>
          </cell>
          <cell r="G80" t="str">
            <v>Moderate</v>
          </cell>
        </row>
        <row r="81">
          <cell r="A81" t="str">
            <v>6a-OH-Estradiol</v>
          </cell>
          <cell r="B81" t="str">
            <v>1229-24-9</v>
          </cell>
          <cell r="C81" t="str">
            <v>moderate</v>
          </cell>
          <cell r="D81" t="str">
            <v/>
          </cell>
          <cell r="E81" t="str">
            <v/>
          </cell>
          <cell r="F81" t="str">
            <v>Moderate</v>
          </cell>
          <cell r="G81" t="str">
            <v>Strong</v>
          </cell>
        </row>
        <row r="82">
          <cell r="A82" t="str">
            <v>3-Deoxyestradiol</v>
          </cell>
          <cell r="B82" t="str">
            <v>2529-64-8</v>
          </cell>
          <cell r="C82" t="str">
            <v>moderate</v>
          </cell>
          <cell r="D82" t="str">
            <v/>
          </cell>
          <cell r="E82" t="str">
            <v/>
          </cell>
          <cell r="F82" t="str">
            <v>Moderate</v>
          </cell>
          <cell r="G82" t="str">
            <v>Strong</v>
          </cell>
        </row>
        <row r="83">
          <cell r="A83" t="str">
            <v>"a,a-Dimethyl-b-ethyl allenolic acid"</v>
          </cell>
          <cell r="B83" t="str">
            <v>65118-81-2</v>
          </cell>
          <cell r="C83" t="str">
            <v>moderate</v>
          </cell>
          <cell r="D83" t="str">
            <v/>
          </cell>
          <cell r="E83" t="str">
            <v/>
          </cell>
          <cell r="F83" t="str">
            <v>VeryWeak</v>
          </cell>
          <cell r="G83" t="str">
            <v>Strong</v>
          </cell>
        </row>
        <row r="84">
          <cell r="A84" t="str">
            <v>Nafoxidine</v>
          </cell>
          <cell r="B84" t="str">
            <v>1845-11-0</v>
          </cell>
          <cell r="C84" t="str">
            <v>moderate</v>
          </cell>
          <cell r="D84" t="str">
            <v/>
          </cell>
          <cell r="E84" t="str">
            <v/>
          </cell>
          <cell r="F84" t="str">
            <v>Inactive</v>
          </cell>
          <cell r="G84" t="str">
            <v>Suspicious</v>
          </cell>
        </row>
        <row r="85">
          <cell r="A85" t="str">
            <v>Aurin</v>
          </cell>
          <cell r="B85" t="str">
            <v>603-45-2</v>
          </cell>
          <cell r="C85" t="str">
            <v>moderate</v>
          </cell>
          <cell r="D85" t="str">
            <v/>
          </cell>
          <cell r="E85" t="str">
            <v/>
          </cell>
          <cell r="F85" t="str">
            <v>VeryWeak</v>
          </cell>
          <cell r="G85" t="str">
            <v>Moderate</v>
          </cell>
        </row>
        <row r="86">
          <cell r="A86" t="str">
            <v>"2,2',4,4'-Tetrahydroxybenzil"</v>
          </cell>
          <cell r="B86" t="str">
            <v>5394-98-9</v>
          </cell>
          <cell r="C86" t="str">
            <v>moderate</v>
          </cell>
          <cell r="D86" t="str">
            <v/>
          </cell>
          <cell r="E86" t="str">
            <v/>
          </cell>
          <cell r="F86" t="str">
            <v>Weak</v>
          </cell>
          <cell r="G86" t="str">
            <v>Moderate</v>
          </cell>
        </row>
        <row r="87">
          <cell r="A87" t="str">
            <v>Bisphenol B</v>
          </cell>
          <cell r="B87" t="str">
            <v>77-40-7</v>
          </cell>
          <cell r="C87" t="str">
            <v>moderate</v>
          </cell>
          <cell r="D87" t="str">
            <v>weak</v>
          </cell>
          <cell r="E87">
            <v>0.49099999999999999</v>
          </cell>
          <cell r="F87" t="str">
            <v>Weak</v>
          </cell>
          <cell r="G87" t="str">
            <v>Strong</v>
          </cell>
        </row>
        <row r="88">
          <cell r="A88" t="str">
            <v>"4,4'-Dihydroxystilbene"</v>
          </cell>
          <cell r="B88" t="str">
            <v>659-22-3</v>
          </cell>
          <cell r="C88" t="str">
            <v>moderate</v>
          </cell>
          <cell r="D88" t="str">
            <v/>
          </cell>
          <cell r="E88" t="str">
            <v/>
          </cell>
          <cell r="F88" t="str">
            <v>VeryWeak</v>
          </cell>
          <cell r="G88" t="str">
            <v>Moderate</v>
          </cell>
        </row>
        <row r="89">
          <cell r="A89" t="str">
            <v>4-t-Octylphenol</v>
          </cell>
          <cell r="B89" t="str">
            <v>140-66-9</v>
          </cell>
          <cell r="C89" t="str">
            <v>moderate</v>
          </cell>
          <cell r="D89" t="str">
            <v>moderate</v>
          </cell>
          <cell r="E89">
            <v>0.39300000000000002</v>
          </cell>
          <cell r="F89" t="str">
            <v>Weak</v>
          </cell>
          <cell r="G89" t="str">
            <v>Strong</v>
          </cell>
        </row>
        <row r="90">
          <cell r="A90" t="str">
            <v>Nonylphenol</v>
          </cell>
          <cell r="B90" t="str">
            <v>25154-52-3</v>
          </cell>
          <cell r="C90" t="str">
            <v>moderate</v>
          </cell>
          <cell r="D90" t="str">
            <v/>
          </cell>
          <cell r="E90" t="str">
            <v/>
          </cell>
          <cell r="F90" t="str">
            <v>VeryWeak</v>
          </cell>
          <cell r="G90" t="str">
            <v>Strong</v>
          </cell>
        </row>
        <row r="91">
          <cell r="A91" t="str">
            <v>HPTE</v>
          </cell>
          <cell r="B91" t="str">
            <v>2971-36-0</v>
          </cell>
          <cell r="C91" t="str">
            <v>moderate</v>
          </cell>
          <cell r="D91" t="str">
            <v/>
          </cell>
          <cell r="E91">
            <v>0.56799999999999995</v>
          </cell>
          <cell r="F91" t="str">
            <v>Weak</v>
          </cell>
          <cell r="G91" t="str">
            <v>Strong</v>
          </cell>
        </row>
        <row r="92">
          <cell r="A92" t="str">
            <v>Nordihydroguaiaretic acid</v>
          </cell>
          <cell r="B92" t="str">
            <v>500-38-9</v>
          </cell>
          <cell r="C92" t="str">
            <v>moderate</v>
          </cell>
          <cell r="D92" t="str">
            <v/>
          </cell>
          <cell r="E92">
            <v>9.98E-2</v>
          </cell>
          <cell r="F92" t="str">
            <v>VeryWeak</v>
          </cell>
          <cell r="G92" t="str">
            <v>Moderate</v>
          </cell>
        </row>
        <row r="93">
          <cell r="A93" t="str">
            <v>3-Methyl-estriol</v>
          </cell>
          <cell r="B93" t="str">
            <v>3434-79-5</v>
          </cell>
          <cell r="C93" t="str">
            <v>moderate</v>
          </cell>
          <cell r="D93" t="str">
            <v/>
          </cell>
          <cell r="E93" t="str">
            <v/>
          </cell>
          <cell r="F93" t="str">
            <v>Moderate</v>
          </cell>
          <cell r="G93" t="str">
            <v>Strong</v>
          </cell>
        </row>
        <row r="94">
          <cell r="A94" t="str">
            <v>Norethynodrel</v>
          </cell>
          <cell r="B94" t="str">
            <v>68-23-5</v>
          </cell>
          <cell r="C94" t="str">
            <v>moderate</v>
          </cell>
          <cell r="D94" t="str">
            <v/>
          </cell>
          <cell r="E94" t="str">
            <v/>
          </cell>
          <cell r="F94" t="str">
            <v>Weak</v>
          </cell>
          <cell r="G94" t="str">
            <v>Strong</v>
          </cell>
        </row>
        <row r="95">
          <cell r="A95" t="str">
            <v>Clomiphene</v>
          </cell>
          <cell r="B95" t="str">
            <v>911-45-5</v>
          </cell>
          <cell r="C95" t="str">
            <v>moderate</v>
          </cell>
          <cell r="D95" t="str">
            <v/>
          </cell>
          <cell r="E95" t="str">
            <v/>
          </cell>
          <cell r="F95" t="str">
            <v>Inactive</v>
          </cell>
          <cell r="G95" t="str">
            <v>Moderate</v>
          </cell>
        </row>
        <row r="96">
          <cell r="A96" t="str">
            <v>"4,4'-(1,2-Ethanediyl)bisphenol"</v>
          </cell>
          <cell r="B96" t="str">
            <v>6052-84-2</v>
          </cell>
          <cell r="C96" t="str">
            <v>moderate</v>
          </cell>
          <cell r="D96" t="str">
            <v/>
          </cell>
          <cell r="E96" t="str">
            <v/>
          </cell>
          <cell r="F96" t="str">
            <v>VeryWeak</v>
          </cell>
          <cell r="G96" t="str">
            <v>Moderate</v>
          </cell>
        </row>
        <row r="97">
          <cell r="A97" t="str">
            <v>"2,5-Dichloro-4'-biphenylol"</v>
          </cell>
          <cell r="B97" t="str">
            <v>53905-28-5</v>
          </cell>
          <cell r="C97" t="str">
            <v>moderate</v>
          </cell>
          <cell r="D97" t="str">
            <v/>
          </cell>
          <cell r="E97" t="str">
            <v/>
          </cell>
          <cell r="F97" t="str">
            <v>Weak</v>
          </cell>
          <cell r="G97" t="str">
            <v>Moderate</v>
          </cell>
        </row>
        <row r="98">
          <cell r="A98" t="str">
            <v>Phenolphthalein</v>
          </cell>
          <cell r="B98" t="str">
            <v>77-09-8</v>
          </cell>
          <cell r="C98" t="str">
            <v>moderate</v>
          </cell>
          <cell r="D98" t="str">
            <v/>
          </cell>
          <cell r="E98">
            <v>0.27600000000000002</v>
          </cell>
          <cell r="F98" t="str">
            <v>VeryWeak</v>
          </cell>
          <cell r="G98" t="str">
            <v>Moderate</v>
          </cell>
        </row>
        <row r="99">
          <cell r="A99" t="str">
            <v>Monohydroxymethoxychlor</v>
          </cell>
          <cell r="B99" t="str">
            <v>28463-03-8</v>
          </cell>
          <cell r="C99" t="str">
            <v>moderate</v>
          </cell>
          <cell r="D99" t="str">
            <v/>
          </cell>
          <cell r="E99" t="str">
            <v/>
          </cell>
          <cell r="F99" t="str">
            <v>VeryWeak</v>
          </cell>
          <cell r="G99" t="str">
            <v>Moderate</v>
          </cell>
        </row>
        <row r="100">
          <cell r="A100" t="str">
            <v>"2,3,4,5-Tetrachloro-4'-biphenylol"</v>
          </cell>
          <cell r="B100" t="str">
            <v>67651-34-7</v>
          </cell>
          <cell r="C100" t="str">
            <v>moderate</v>
          </cell>
          <cell r="D100" t="str">
            <v/>
          </cell>
          <cell r="E100" t="str">
            <v/>
          </cell>
          <cell r="F100" t="str">
            <v>Weak</v>
          </cell>
          <cell r="G100" t="str">
            <v>Weak</v>
          </cell>
        </row>
        <row r="101">
          <cell r="A101" t="str">
            <v>2-Ethylhexyl-4-hydroxybenzoate</v>
          </cell>
          <cell r="B101" t="str">
            <v>5153-25-3</v>
          </cell>
          <cell r="C101" t="str">
            <v>moderate</v>
          </cell>
          <cell r="D101" t="str">
            <v/>
          </cell>
          <cell r="E101">
            <v>0.37</v>
          </cell>
          <cell r="F101" t="str">
            <v>VeryWeak</v>
          </cell>
          <cell r="G101" t="str">
            <v>Weak</v>
          </cell>
        </row>
        <row r="102">
          <cell r="A102" t="str">
            <v>Kepone</v>
          </cell>
          <cell r="B102" t="str">
            <v>143-50-0</v>
          </cell>
          <cell r="C102" t="str">
            <v>moderate</v>
          </cell>
          <cell r="D102" t="str">
            <v>weak</v>
          </cell>
          <cell r="E102">
            <v>0.17399999999999999</v>
          </cell>
          <cell r="F102" t="str">
            <v>Suspicious</v>
          </cell>
          <cell r="G102" t="str">
            <v>VeryWeak</v>
          </cell>
        </row>
        <row r="103">
          <cell r="A103" t="str">
            <v>Diethylstilbestrol dimethyl ether</v>
          </cell>
          <cell r="B103" t="str">
            <v>7773-34-4</v>
          </cell>
          <cell r="C103" t="str">
            <v>moderate</v>
          </cell>
          <cell r="D103" t="str">
            <v/>
          </cell>
          <cell r="E103" t="str">
            <v/>
          </cell>
          <cell r="F103" t="str">
            <v>VeryWeak</v>
          </cell>
          <cell r="G103" t="str">
            <v>VeryWeak</v>
          </cell>
        </row>
        <row r="104">
          <cell r="A104" t="str">
            <v>3-b-Androstanediol</v>
          </cell>
          <cell r="B104" t="str">
            <v>571-20-0</v>
          </cell>
          <cell r="C104" t="str">
            <v>moderate</v>
          </cell>
          <cell r="D104" t="str">
            <v/>
          </cell>
          <cell r="E104" t="str">
            <v/>
          </cell>
          <cell r="F104" t="str">
            <v>Weak</v>
          </cell>
          <cell r="G104" t="str">
            <v>Strong</v>
          </cell>
        </row>
        <row r="105">
          <cell r="A105" t="str">
            <v>4-Dodecylphenol</v>
          </cell>
          <cell r="B105" t="str">
            <v>104-43-8</v>
          </cell>
          <cell r="C105" t="str">
            <v>moderate</v>
          </cell>
          <cell r="D105" t="str">
            <v/>
          </cell>
          <cell r="E105">
            <v>0.41</v>
          </cell>
          <cell r="F105" t="str">
            <v>VeryWeak</v>
          </cell>
          <cell r="G105" t="str">
            <v>Moderate</v>
          </cell>
        </row>
        <row r="106">
          <cell r="A106" t="str">
            <v>Monohydroxymethoxychlor olefin</v>
          </cell>
          <cell r="B106" t="str">
            <v>75938-34-0</v>
          </cell>
          <cell r="C106" t="str">
            <v>moderate</v>
          </cell>
          <cell r="D106" t="str">
            <v/>
          </cell>
          <cell r="E106" t="str">
            <v/>
          </cell>
          <cell r="F106" t="str">
            <v>VeryWeak</v>
          </cell>
          <cell r="G106" t="str">
            <v>Moderate</v>
          </cell>
        </row>
        <row r="107">
          <cell r="A107" t="str">
            <v>"3-OH-Estra-1,3,5(10)-trien-16-one"</v>
          </cell>
          <cell r="B107" t="str">
            <v>3601-97-6</v>
          </cell>
          <cell r="C107" t="str">
            <v>moderate</v>
          </cell>
          <cell r="D107" t="str">
            <v/>
          </cell>
          <cell r="E107" t="str">
            <v/>
          </cell>
          <cell r="F107" t="str">
            <v>Strong</v>
          </cell>
          <cell r="G107" t="str">
            <v>Strong</v>
          </cell>
        </row>
        <row r="108">
          <cell r="A108" t="str">
            <v>16b-OH-16-Methyl-3-methyl-estradiol</v>
          </cell>
          <cell r="B108" t="str">
            <v>5108-94-1</v>
          </cell>
          <cell r="C108" t="str">
            <v>moderate</v>
          </cell>
          <cell r="D108" t="str">
            <v/>
          </cell>
          <cell r="E108" t="str">
            <v/>
          </cell>
          <cell r="F108" t="str">
            <v>Moderate</v>
          </cell>
          <cell r="G108" t="str">
            <v>Strong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3"/>
  <sheetViews>
    <sheetView tabSelected="1" workbookViewId="0">
      <selection activeCell="A6" sqref="A6"/>
    </sheetView>
  </sheetViews>
  <sheetFormatPr defaultRowHeight="14.4" x14ac:dyDescent="0.3"/>
  <cols>
    <col min="1" max="1" width="19.33203125" customWidth="1"/>
  </cols>
  <sheetData>
    <row r="1" spans="1:13" x14ac:dyDescent="0.3">
      <c r="A1" t="s">
        <v>0</v>
      </c>
      <c r="B1" t="s">
        <v>105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107</v>
      </c>
      <c r="L1" t="s">
        <v>106</v>
      </c>
      <c r="M1" t="s">
        <v>108</v>
      </c>
    </row>
    <row r="2" spans="1:13" x14ac:dyDescent="0.3">
      <c r="A2" t="s">
        <v>9</v>
      </c>
      <c r="B2" t="str">
        <f>_xlfn.TEXTBEFORE(_xlfn.TEXTAFTER(A2,"cas-"),"_")</f>
        <v>103-16-2</v>
      </c>
      <c r="C2" t="s">
        <v>10</v>
      </c>
      <c r="D2" t="s">
        <v>11</v>
      </c>
      <c r="E2" t="s">
        <v>12</v>
      </c>
      <c r="F2">
        <v>-7.44</v>
      </c>
      <c r="G2">
        <v>0.89890000000000003</v>
      </c>
      <c r="H2">
        <v>6.0579999999999998</v>
      </c>
      <c r="I2">
        <v>5.4455362000000003</v>
      </c>
      <c r="K2" t="str">
        <f>INDEX([1]Sheet1!$A$1:$G$108, MATCH(B2,[1]Sheet1!$B:$B,0), 1)</f>
        <v>4-(Benzyloxyl)phenol</v>
      </c>
      <c r="L2" t="str">
        <f>INDEX([1]Sheet1!$A$1:$G$108, MATCH(B2,[1]Sheet1!$B:$B,0), 3)</f>
        <v>weak</v>
      </c>
      <c r="M2" t="s">
        <v>109</v>
      </c>
    </row>
    <row r="3" spans="1:13" x14ac:dyDescent="0.3">
      <c r="A3" t="s">
        <v>9</v>
      </c>
      <c r="B3" t="str">
        <f>_xlfn.TEXTBEFORE(_xlfn.TEXTAFTER(A3,"cas-"),"_")</f>
        <v>103-16-2</v>
      </c>
      <c r="C3" t="s">
        <v>13</v>
      </c>
      <c r="D3" t="s">
        <v>14</v>
      </c>
      <c r="E3" t="s">
        <v>12</v>
      </c>
      <c r="F3">
        <v>-7.4</v>
      </c>
      <c r="G3">
        <v>0.91269999999999996</v>
      </c>
      <c r="H3">
        <v>6.3179999999999996</v>
      </c>
      <c r="I3">
        <v>5.766438599999999</v>
      </c>
      <c r="K3" t="str">
        <f>INDEX([1]Sheet1!$A$1:$G$108, MATCH(B3,[1]Sheet1!$B:$B,0), 1)</f>
        <v>4-(Benzyloxyl)phenol</v>
      </c>
      <c r="L3" t="str">
        <f>INDEX([1]Sheet1!$A$1:$G$108, MATCH(B3,[1]Sheet1!$B:$B,0), 3)</f>
        <v>weak</v>
      </c>
      <c r="M3" t="s">
        <v>109</v>
      </c>
    </row>
    <row r="4" spans="1:13" x14ac:dyDescent="0.3">
      <c r="A4" t="s">
        <v>9</v>
      </c>
      <c r="B4" t="str">
        <f>_xlfn.TEXTBEFORE(_xlfn.TEXTAFTER(A4,"cas-"),"_")</f>
        <v>103-16-2</v>
      </c>
      <c r="C4" t="s">
        <v>15</v>
      </c>
      <c r="D4" t="s">
        <v>16</v>
      </c>
      <c r="E4" t="s">
        <v>12</v>
      </c>
      <c r="F4">
        <v>-7.86</v>
      </c>
      <c r="G4">
        <v>0.87839999999999996</v>
      </c>
      <c r="H4">
        <v>5.8150000000000004</v>
      </c>
      <c r="I4">
        <v>5.1078960000000002</v>
      </c>
      <c r="K4" t="str">
        <f>INDEX([1]Sheet1!$A$1:$G$108, MATCH(B4,[1]Sheet1!$B:$B,0), 1)</f>
        <v>4-(Benzyloxyl)phenol</v>
      </c>
      <c r="L4" t="str">
        <f>INDEX([1]Sheet1!$A$1:$G$108, MATCH(B4,[1]Sheet1!$B:$B,0), 3)</f>
        <v>weak</v>
      </c>
      <c r="M4" t="s">
        <v>109</v>
      </c>
    </row>
    <row r="5" spans="1:13" x14ac:dyDescent="0.3">
      <c r="A5" t="s">
        <v>9</v>
      </c>
      <c r="B5" t="str">
        <f>_xlfn.TEXTBEFORE(_xlfn.TEXTAFTER(A5,"cas-"),"_")</f>
        <v>103-16-2</v>
      </c>
      <c r="C5" t="s">
        <v>17</v>
      </c>
      <c r="D5" t="s">
        <v>11</v>
      </c>
      <c r="E5" t="s">
        <v>12</v>
      </c>
      <c r="F5">
        <v>-7.44</v>
      </c>
      <c r="G5">
        <v>0.89119999999999999</v>
      </c>
      <c r="H5">
        <v>6.7939999999999996</v>
      </c>
      <c r="I5">
        <v>6.0548127999999997</v>
      </c>
      <c r="K5" t="str">
        <f>INDEX([1]Sheet1!$A$1:$G$108, MATCH(B5,[1]Sheet1!$B:$B,0), 1)</f>
        <v>4-(Benzyloxyl)phenol</v>
      </c>
      <c r="L5" t="str">
        <f>INDEX([1]Sheet1!$A$1:$G$108, MATCH(B5,[1]Sheet1!$B:$B,0), 3)</f>
        <v>weak</v>
      </c>
      <c r="M5" t="s">
        <v>109</v>
      </c>
    </row>
    <row r="6" spans="1:13" x14ac:dyDescent="0.3">
      <c r="A6" t="s">
        <v>9</v>
      </c>
      <c r="B6" t="str">
        <f>_xlfn.TEXTBEFORE(_xlfn.TEXTAFTER(A6,"cas-"),"_")</f>
        <v>103-16-2</v>
      </c>
      <c r="C6" t="s">
        <v>18</v>
      </c>
      <c r="D6" t="s">
        <v>11</v>
      </c>
      <c r="E6" t="s">
        <v>12</v>
      </c>
      <c r="F6">
        <v>-7.28</v>
      </c>
      <c r="G6">
        <v>0.88749999999999996</v>
      </c>
      <c r="H6">
        <v>6.4279999999999999</v>
      </c>
      <c r="I6">
        <v>5.7048500000000004</v>
      </c>
      <c r="K6" t="str">
        <f>INDEX([1]Sheet1!$A$1:$G$108, MATCH(B6,[1]Sheet1!$B:$B,0), 1)</f>
        <v>4-(Benzyloxyl)phenol</v>
      </c>
      <c r="L6" t="str">
        <f>INDEX([1]Sheet1!$A$1:$G$108, MATCH(B6,[1]Sheet1!$B:$B,0), 3)</f>
        <v>weak</v>
      </c>
      <c r="M6" t="s">
        <v>109</v>
      </c>
    </row>
    <row r="7" spans="1:13" x14ac:dyDescent="0.3">
      <c r="A7" t="s">
        <v>9</v>
      </c>
      <c r="B7" t="str">
        <f>_xlfn.TEXTBEFORE(_xlfn.TEXTAFTER(A7,"cas-"),"_")</f>
        <v>103-16-2</v>
      </c>
      <c r="C7" t="s">
        <v>19</v>
      </c>
      <c r="D7" t="s">
        <v>20</v>
      </c>
      <c r="E7" t="s">
        <v>12</v>
      </c>
      <c r="F7">
        <v>-7.39</v>
      </c>
      <c r="G7">
        <v>0.86509999999999998</v>
      </c>
      <c r="H7">
        <v>5.6189999999999998</v>
      </c>
      <c r="I7">
        <v>4.8609969</v>
      </c>
      <c r="K7" t="str">
        <f>INDEX([1]Sheet1!$A$1:$G$108, MATCH(B7,[1]Sheet1!$B:$B,0), 1)</f>
        <v>4-(Benzyloxyl)phenol</v>
      </c>
      <c r="L7" t="str">
        <f>INDEX([1]Sheet1!$A$1:$G$108, MATCH(B7,[1]Sheet1!$B:$B,0), 3)</f>
        <v>weak</v>
      </c>
      <c r="M7" t="s">
        <v>109</v>
      </c>
    </row>
    <row r="8" spans="1:13" x14ac:dyDescent="0.3">
      <c r="A8" t="s">
        <v>9</v>
      </c>
      <c r="B8" t="str">
        <f>_xlfn.TEXTBEFORE(_xlfn.TEXTAFTER(A8,"cas-"),"_")</f>
        <v>103-16-2</v>
      </c>
      <c r="C8" t="s">
        <v>21</v>
      </c>
      <c r="D8" t="s">
        <v>11</v>
      </c>
      <c r="E8" t="s">
        <v>12</v>
      </c>
      <c r="F8">
        <v>-7.63</v>
      </c>
      <c r="G8">
        <v>0.90839999999999999</v>
      </c>
      <c r="H8">
        <v>5.8620000000000001</v>
      </c>
      <c r="I8">
        <v>5.3250408</v>
      </c>
      <c r="K8" t="str">
        <f>INDEX([1]Sheet1!$A$1:$G$108, MATCH(B8,[1]Sheet1!$B:$B,0), 1)</f>
        <v>4-(Benzyloxyl)phenol</v>
      </c>
      <c r="L8" t="str">
        <f>INDEX([1]Sheet1!$A$1:$G$108, MATCH(B8,[1]Sheet1!$B:$B,0), 3)</f>
        <v>weak</v>
      </c>
      <c r="M8" t="s">
        <v>109</v>
      </c>
    </row>
    <row r="9" spans="1:13" x14ac:dyDescent="0.3">
      <c r="A9" t="s">
        <v>9</v>
      </c>
      <c r="B9" t="str">
        <f>_xlfn.TEXTBEFORE(_xlfn.TEXTAFTER(A9,"cas-"),"_")</f>
        <v>103-16-2</v>
      </c>
      <c r="C9" t="s">
        <v>22</v>
      </c>
      <c r="D9" t="s">
        <v>23</v>
      </c>
      <c r="E9" t="s">
        <v>12</v>
      </c>
      <c r="F9">
        <v>-7.47</v>
      </c>
      <c r="G9">
        <v>0.89880000000000004</v>
      </c>
      <c r="H9">
        <v>5.8970000000000002</v>
      </c>
      <c r="I9">
        <v>5.3002236000000007</v>
      </c>
      <c r="K9" t="str">
        <f>INDEX([1]Sheet1!$A$1:$G$108, MATCH(B9,[1]Sheet1!$B:$B,0), 1)</f>
        <v>4-(Benzyloxyl)phenol</v>
      </c>
      <c r="L9" t="str">
        <f>INDEX([1]Sheet1!$A$1:$G$108, MATCH(B9,[1]Sheet1!$B:$B,0), 3)</f>
        <v>weak</v>
      </c>
      <c r="M9" t="s">
        <v>109</v>
      </c>
    </row>
    <row r="10" spans="1:13" x14ac:dyDescent="0.3">
      <c r="A10" t="s">
        <v>9</v>
      </c>
      <c r="B10" t="str">
        <f>_xlfn.TEXTBEFORE(_xlfn.TEXTAFTER(A10,"cas-"),"_")</f>
        <v>103-16-2</v>
      </c>
      <c r="C10" t="s">
        <v>24</v>
      </c>
      <c r="D10" t="s">
        <v>25</v>
      </c>
      <c r="E10" t="s">
        <v>12</v>
      </c>
      <c r="F10">
        <v>-7.02</v>
      </c>
      <c r="G10">
        <v>0.88060000000000005</v>
      </c>
      <c r="H10">
        <v>6.2229999999999999</v>
      </c>
      <c r="I10">
        <v>5.4799737999999998</v>
      </c>
      <c r="K10" t="str">
        <f>INDEX([1]Sheet1!$A$1:$G$108, MATCH(B10,[1]Sheet1!$B:$B,0), 1)</f>
        <v>4-(Benzyloxyl)phenol</v>
      </c>
      <c r="L10" t="str">
        <f>INDEX([1]Sheet1!$A$1:$G$108, MATCH(B10,[1]Sheet1!$B:$B,0), 3)</f>
        <v>weak</v>
      </c>
      <c r="M10" t="s">
        <v>109</v>
      </c>
    </row>
    <row r="11" spans="1:13" x14ac:dyDescent="0.3">
      <c r="A11" t="s">
        <v>9</v>
      </c>
      <c r="B11" t="str">
        <f>_xlfn.TEXTBEFORE(_xlfn.TEXTAFTER(A11,"cas-"),"_")</f>
        <v>103-16-2</v>
      </c>
      <c r="C11" t="s">
        <v>26</v>
      </c>
      <c r="D11" t="s">
        <v>14</v>
      </c>
      <c r="E11" t="s">
        <v>12</v>
      </c>
      <c r="F11">
        <v>-7.64</v>
      </c>
      <c r="G11">
        <v>0.91820000000000002</v>
      </c>
      <c r="H11">
        <v>6.2210000000000001</v>
      </c>
      <c r="I11">
        <v>5.7121221999999996</v>
      </c>
      <c r="K11" t="str">
        <f>INDEX([1]Sheet1!$A$1:$G$108, MATCH(B11,[1]Sheet1!$B:$B,0), 1)</f>
        <v>4-(Benzyloxyl)phenol</v>
      </c>
      <c r="L11" t="str">
        <f>INDEX([1]Sheet1!$A$1:$G$108, MATCH(B11,[1]Sheet1!$B:$B,0), 3)</f>
        <v>weak</v>
      </c>
      <c r="M11" t="s">
        <v>109</v>
      </c>
    </row>
    <row r="12" spans="1:13" x14ac:dyDescent="0.3">
      <c r="A12" t="s">
        <v>9</v>
      </c>
      <c r="B12" t="str">
        <f>_xlfn.TEXTBEFORE(_xlfn.TEXTAFTER(A12,"cas-"),"_")</f>
        <v>103-16-2</v>
      </c>
      <c r="C12" t="s">
        <v>27</v>
      </c>
      <c r="D12" t="s">
        <v>11</v>
      </c>
      <c r="E12" t="s">
        <v>12</v>
      </c>
      <c r="F12">
        <v>-7.61</v>
      </c>
      <c r="G12">
        <v>0.89949999999999997</v>
      </c>
      <c r="H12">
        <v>6.173</v>
      </c>
      <c r="I12">
        <v>5.5526134999999996</v>
      </c>
      <c r="K12" t="str">
        <f>INDEX([1]Sheet1!$A$1:$G$108, MATCH(B12,[1]Sheet1!$B:$B,0), 1)</f>
        <v>4-(Benzyloxyl)phenol</v>
      </c>
      <c r="L12" t="str">
        <f>INDEX([1]Sheet1!$A$1:$G$108, MATCH(B12,[1]Sheet1!$B:$B,0), 3)</f>
        <v>weak</v>
      </c>
      <c r="M12" t="s">
        <v>109</v>
      </c>
    </row>
    <row r="13" spans="1:13" x14ac:dyDescent="0.3">
      <c r="A13" t="s">
        <v>9</v>
      </c>
      <c r="B13" t="str">
        <f>_xlfn.TEXTBEFORE(_xlfn.TEXTAFTER(A13,"cas-"),"_")</f>
        <v>103-16-2</v>
      </c>
      <c r="C13" t="s">
        <v>28</v>
      </c>
      <c r="D13" t="s">
        <v>29</v>
      </c>
      <c r="E13" t="s">
        <v>12</v>
      </c>
      <c r="F13">
        <v>-7.35</v>
      </c>
      <c r="G13">
        <v>0.9083</v>
      </c>
      <c r="H13">
        <v>6.093</v>
      </c>
      <c r="I13">
        <v>5.5342719000000002</v>
      </c>
      <c r="K13" t="str">
        <f>INDEX([1]Sheet1!$A$1:$G$108, MATCH(B13,[1]Sheet1!$B:$B,0), 1)</f>
        <v>4-(Benzyloxyl)phenol</v>
      </c>
      <c r="L13" t="str">
        <f>INDEX([1]Sheet1!$A$1:$G$108, MATCH(B13,[1]Sheet1!$B:$B,0), 3)</f>
        <v>weak</v>
      </c>
      <c r="M13" t="s">
        <v>109</v>
      </c>
    </row>
    <row r="14" spans="1:13" x14ac:dyDescent="0.3">
      <c r="A14" t="s">
        <v>9</v>
      </c>
      <c r="B14" t="str">
        <f>_xlfn.TEXTBEFORE(_xlfn.TEXTAFTER(A14,"cas-"),"_")</f>
        <v>103-16-2</v>
      </c>
      <c r="C14" t="s">
        <v>30</v>
      </c>
      <c r="D14" t="s">
        <v>31</v>
      </c>
      <c r="E14" t="s">
        <v>12</v>
      </c>
      <c r="F14">
        <v>-7.23</v>
      </c>
      <c r="G14">
        <v>0.92190000000000005</v>
      </c>
      <c r="H14">
        <v>6.44</v>
      </c>
      <c r="I14">
        <v>5.9370360000000009</v>
      </c>
      <c r="K14" t="str">
        <f>INDEX([1]Sheet1!$A$1:$G$108, MATCH(B14,[1]Sheet1!$B:$B,0), 1)</f>
        <v>4-(Benzyloxyl)phenol</v>
      </c>
      <c r="L14" t="str">
        <f>INDEX([1]Sheet1!$A$1:$G$108, MATCH(B14,[1]Sheet1!$B:$B,0), 3)</f>
        <v>weak</v>
      </c>
      <c r="M14" t="s">
        <v>109</v>
      </c>
    </row>
    <row r="15" spans="1:13" x14ac:dyDescent="0.3">
      <c r="A15" t="s">
        <v>32</v>
      </c>
      <c r="B15" t="str">
        <f>_xlfn.TEXTBEFORE(_xlfn.TEXTAFTER(A15,"cas-"),"_")</f>
        <v>104-43-8</v>
      </c>
      <c r="C15" t="s">
        <v>28</v>
      </c>
      <c r="D15" t="s">
        <v>29</v>
      </c>
      <c r="E15" t="s">
        <v>12</v>
      </c>
      <c r="F15">
        <v>-6.8</v>
      </c>
      <c r="G15">
        <v>0.93989999999999996</v>
      </c>
      <c r="H15">
        <v>7.8890000000000002</v>
      </c>
      <c r="I15">
        <v>7.4148711</v>
      </c>
      <c r="K15" t="str">
        <f>INDEX([1]Sheet1!$A$1:$G$108, MATCH(B15,[1]Sheet1!$B:$B,0), 1)</f>
        <v>4-Dodecylphenol</v>
      </c>
      <c r="L15" t="str">
        <f>INDEX([1]Sheet1!$A$1:$G$108, MATCH(B15,[1]Sheet1!$B:$B,0), 3)</f>
        <v>moderate</v>
      </c>
      <c r="M15" t="s">
        <v>109</v>
      </c>
    </row>
    <row r="16" spans="1:13" x14ac:dyDescent="0.3">
      <c r="A16" t="s">
        <v>32</v>
      </c>
      <c r="B16" t="str">
        <f>_xlfn.TEXTBEFORE(_xlfn.TEXTAFTER(A16,"cas-"),"_")</f>
        <v>104-43-8</v>
      </c>
      <c r="C16" t="s">
        <v>21</v>
      </c>
      <c r="D16" t="s">
        <v>11</v>
      </c>
      <c r="E16" t="s">
        <v>12</v>
      </c>
      <c r="F16">
        <v>-6.72</v>
      </c>
      <c r="G16">
        <v>0.92059999999999997</v>
      </c>
      <c r="H16">
        <v>7.8449999999999998</v>
      </c>
      <c r="I16">
        <v>7.2221069999999994</v>
      </c>
      <c r="K16" t="str">
        <f>INDEX([1]Sheet1!$A$1:$G$108, MATCH(B16,[1]Sheet1!$B:$B,0), 1)</f>
        <v>4-Dodecylphenol</v>
      </c>
      <c r="L16" t="str">
        <f>INDEX([1]Sheet1!$A$1:$G$108, MATCH(B16,[1]Sheet1!$B:$B,0), 3)</f>
        <v>moderate</v>
      </c>
      <c r="M16" t="s">
        <v>109</v>
      </c>
    </row>
    <row r="17" spans="1:13" x14ac:dyDescent="0.3">
      <c r="A17" t="s">
        <v>32</v>
      </c>
      <c r="B17" t="str">
        <f>_xlfn.TEXTBEFORE(_xlfn.TEXTAFTER(A17,"cas-"),"_")</f>
        <v>104-43-8</v>
      </c>
      <c r="C17" t="s">
        <v>24</v>
      </c>
      <c r="D17" t="s">
        <v>25</v>
      </c>
      <c r="E17" t="s">
        <v>12</v>
      </c>
      <c r="F17">
        <v>-7.19</v>
      </c>
      <c r="G17">
        <v>0.88600000000000001</v>
      </c>
      <c r="H17">
        <v>7.7889999999999997</v>
      </c>
      <c r="I17">
        <v>6.9010540000000002</v>
      </c>
      <c r="K17" t="str">
        <f>INDEX([1]Sheet1!$A$1:$G$108, MATCH(B17,[1]Sheet1!$B:$B,0), 1)</f>
        <v>4-Dodecylphenol</v>
      </c>
      <c r="L17" t="str">
        <f>INDEX([1]Sheet1!$A$1:$G$108, MATCH(B17,[1]Sheet1!$B:$B,0), 3)</f>
        <v>moderate</v>
      </c>
      <c r="M17" t="s">
        <v>109</v>
      </c>
    </row>
    <row r="18" spans="1:13" x14ac:dyDescent="0.3">
      <c r="A18" t="s">
        <v>32</v>
      </c>
      <c r="B18" t="str">
        <f>_xlfn.TEXTBEFORE(_xlfn.TEXTAFTER(A18,"cas-"),"_")</f>
        <v>104-43-8</v>
      </c>
      <c r="C18" t="s">
        <v>19</v>
      </c>
      <c r="D18" t="s">
        <v>20</v>
      </c>
      <c r="E18" t="s">
        <v>12</v>
      </c>
      <c r="F18">
        <v>-6.9</v>
      </c>
      <c r="G18">
        <v>0.91649999999999998</v>
      </c>
      <c r="H18">
        <v>7.609</v>
      </c>
      <c r="I18">
        <v>6.9736484999999986</v>
      </c>
      <c r="K18" t="str">
        <f>INDEX([1]Sheet1!$A$1:$G$108, MATCH(B18,[1]Sheet1!$B:$B,0), 1)</f>
        <v>4-Dodecylphenol</v>
      </c>
      <c r="L18" t="str">
        <f>INDEX([1]Sheet1!$A$1:$G$108, MATCH(B18,[1]Sheet1!$B:$B,0), 3)</f>
        <v>moderate</v>
      </c>
      <c r="M18" t="s">
        <v>109</v>
      </c>
    </row>
    <row r="19" spans="1:13" x14ac:dyDescent="0.3">
      <c r="A19" t="s">
        <v>32</v>
      </c>
      <c r="B19" t="str">
        <f>_xlfn.TEXTBEFORE(_xlfn.TEXTAFTER(A19,"cas-"),"_")</f>
        <v>104-43-8</v>
      </c>
      <c r="C19" t="s">
        <v>10</v>
      </c>
      <c r="D19" t="s">
        <v>11</v>
      </c>
      <c r="E19" t="s">
        <v>12</v>
      </c>
      <c r="F19">
        <v>-7.24</v>
      </c>
      <c r="G19">
        <v>0.93440000000000001</v>
      </c>
      <c r="H19">
        <v>7.8259999999999996</v>
      </c>
      <c r="I19">
        <v>7.3126143999999993</v>
      </c>
      <c r="K19" t="str">
        <f>INDEX([1]Sheet1!$A$1:$G$108, MATCH(B19,[1]Sheet1!$B:$B,0), 1)</f>
        <v>4-Dodecylphenol</v>
      </c>
      <c r="L19" t="str">
        <f>INDEX([1]Sheet1!$A$1:$G$108, MATCH(B19,[1]Sheet1!$B:$B,0), 3)</f>
        <v>moderate</v>
      </c>
      <c r="M19" t="s">
        <v>109</v>
      </c>
    </row>
    <row r="20" spans="1:13" x14ac:dyDescent="0.3">
      <c r="A20" t="s">
        <v>32</v>
      </c>
      <c r="B20" t="str">
        <f>_xlfn.TEXTBEFORE(_xlfn.TEXTAFTER(A20,"cas-"),"_")</f>
        <v>104-43-8</v>
      </c>
      <c r="C20" t="s">
        <v>17</v>
      </c>
      <c r="D20" t="s">
        <v>11</v>
      </c>
      <c r="E20" t="s">
        <v>12</v>
      </c>
      <c r="F20">
        <v>-7.27</v>
      </c>
      <c r="G20">
        <v>0.92920000000000003</v>
      </c>
      <c r="H20">
        <v>8.125</v>
      </c>
      <c r="I20">
        <v>7.5497500000000004</v>
      </c>
      <c r="K20" t="str">
        <f>INDEX([1]Sheet1!$A$1:$G$108, MATCH(B20,[1]Sheet1!$B:$B,0), 1)</f>
        <v>4-Dodecylphenol</v>
      </c>
      <c r="L20" t="str">
        <f>INDEX([1]Sheet1!$A$1:$G$108, MATCH(B20,[1]Sheet1!$B:$B,0), 3)</f>
        <v>moderate</v>
      </c>
      <c r="M20" t="s">
        <v>109</v>
      </c>
    </row>
    <row r="21" spans="1:13" x14ac:dyDescent="0.3">
      <c r="A21" t="s">
        <v>32</v>
      </c>
      <c r="B21" t="str">
        <f>_xlfn.TEXTBEFORE(_xlfn.TEXTAFTER(A21,"cas-"),"_")</f>
        <v>104-43-8</v>
      </c>
      <c r="C21" t="s">
        <v>15</v>
      </c>
      <c r="D21" t="s">
        <v>16</v>
      </c>
      <c r="E21" t="s">
        <v>12</v>
      </c>
      <c r="F21">
        <v>-7.21</v>
      </c>
      <c r="G21">
        <v>0.94279999999999997</v>
      </c>
      <c r="H21">
        <v>7.7229999999999999</v>
      </c>
      <c r="I21">
        <v>7.2812443999999994</v>
      </c>
      <c r="K21" t="str">
        <f>INDEX([1]Sheet1!$A$1:$G$108, MATCH(B21,[1]Sheet1!$B:$B,0), 1)</f>
        <v>4-Dodecylphenol</v>
      </c>
      <c r="L21" t="str">
        <f>INDEX([1]Sheet1!$A$1:$G$108, MATCH(B21,[1]Sheet1!$B:$B,0), 3)</f>
        <v>moderate</v>
      </c>
      <c r="M21" t="s">
        <v>109</v>
      </c>
    </row>
    <row r="22" spans="1:13" x14ac:dyDescent="0.3">
      <c r="A22" t="s">
        <v>32</v>
      </c>
      <c r="B22" t="str">
        <f>_xlfn.TEXTBEFORE(_xlfn.TEXTAFTER(A22,"cas-"),"_")</f>
        <v>104-43-8</v>
      </c>
      <c r="C22" t="s">
        <v>26</v>
      </c>
      <c r="D22" t="s">
        <v>14</v>
      </c>
      <c r="E22" t="s">
        <v>12</v>
      </c>
      <c r="F22">
        <v>-7.23</v>
      </c>
      <c r="G22">
        <v>0.90810000000000002</v>
      </c>
      <c r="H22">
        <v>7.7140000000000004</v>
      </c>
      <c r="I22">
        <v>7.0050834000000002</v>
      </c>
      <c r="K22" t="str">
        <f>INDEX([1]Sheet1!$A$1:$G$108, MATCH(B22,[1]Sheet1!$B:$B,0), 1)</f>
        <v>4-Dodecylphenol</v>
      </c>
      <c r="L22" t="str">
        <f>INDEX([1]Sheet1!$A$1:$G$108, MATCH(B22,[1]Sheet1!$B:$B,0), 3)</f>
        <v>moderate</v>
      </c>
      <c r="M22" t="s">
        <v>109</v>
      </c>
    </row>
    <row r="23" spans="1:13" x14ac:dyDescent="0.3">
      <c r="A23" t="s">
        <v>32</v>
      </c>
      <c r="B23" t="str">
        <f>_xlfn.TEXTBEFORE(_xlfn.TEXTAFTER(A23,"cas-"),"_")</f>
        <v>104-43-8</v>
      </c>
      <c r="C23" t="s">
        <v>18</v>
      </c>
      <c r="D23" t="s">
        <v>11</v>
      </c>
      <c r="E23" t="s">
        <v>12</v>
      </c>
      <c r="F23">
        <v>-7.35</v>
      </c>
      <c r="G23">
        <v>0.92349999999999999</v>
      </c>
      <c r="H23">
        <v>7.7590000000000003</v>
      </c>
      <c r="I23">
        <v>7.1654365000000002</v>
      </c>
      <c r="K23" t="str">
        <f>INDEX([1]Sheet1!$A$1:$G$108, MATCH(B23,[1]Sheet1!$B:$B,0), 1)</f>
        <v>4-Dodecylphenol</v>
      </c>
      <c r="L23" t="str">
        <f>INDEX([1]Sheet1!$A$1:$G$108, MATCH(B23,[1]Sheet1!$B:$B,0), 3)</f>
        <v>moderate</v>
      </c>
      <c r="M23" t="s">
        <v>109</v>
      </c>
    </row>
    <row r="24" spans="1:13" x14ac:dyDescent="0.3">
      <c r="A24" t="s">
        <v>32</v>
      </c>
      <c r="B24" t="str">
        <f>_xlfn.TEXTBEFORE(_xlfn.TEXTAFTER(A24,"cas-"),"_")</f>
        <v>104-43-8</v>
      </c>
      <c r="C24" t="s">
        <v>13</v>
      </c>
      <c r="D24" t="s">
        <v>14</v>
      </c>
      <c r="E24" t="s">
        <v>12</v>
      </c>
      <c r="F24">
        <v>-7.3</v>
      </c>
      <c r="G24">
        <v>0.9486</v>
      </c>
      <c r="H24">
        <v>8.0820000000000007</v>
      </c>
      <c r="I24">
        <v>7.666585200000001</v>
      </c>
      <c r="K24" t="str">
        <f>INDEX([1]Sheet1!$A$1:$G$108, MATCH(B24,[1]Sheet1!$B:$B,0), 1)</f>
        <v>4-Dodecylphenol</v>
      </c>
      <c r="L24" t="str">
        <f>INDEX([1]Sheet1!$A$1:$G$108, MATCH(B24,[1]Sheet1!$B:$B,0), 3)</f>
        <v>moderate</v>
      </c>
      <c r="M24" t="s">
        <v>109</v>
      </c>
    </row>
    <row r="25" spans="1:13" x14ac:dyDescent="0.3">
      <c r="A25" t="s">
        <v>32</v>
      </c>
      <c r="B25" t="str">
        <f>_xlfn.TEXTBEFORE(_xlfn.TEXTAFTER(A25,"cas-"),"_")</f>
        <v>104-43-8</v>
      </c>
      <c r="C25" t="s">
        <v>27</v>
      </c>
      <c r="D25" t="s">
        <v>11</v>
      </c>
      <c r="E25" t="s">
        <v>12</v>
      </c>
      <c r="F25">
        <v>-7.31</v>
      </c>
      <c r="G25">
        <v>0.9214</v>
      </c>
      <c r="H25">
        <v>7.9550000000000001</v>
      </c>
      <c r="I25">
        <v>7.3297369999999997</v>
      </c>
      <c r="K25" t="str">
        <f>INDEX([1]Sheet1!$A$1:$G$108, MATCH(B25,[1]Sheet1!$B:$B,0), 1)</f>
        <v>4-Dodecylphenol</v>
      </c>
      <c r="L25" t="str">
        <f>INDEX([1]Sheet1!$A$1:$G$108, MATCH(B25,[1]Sheet1!$B:$B,0), 3)</f>
        <v>moderate</v>
      </c>
      <c r="M25" t="s">
        <v>109</v>
      </c>
    </row>
    <row r="26" spans="1:13" x14ac:dyDescent="0.3">
      <c r="A26" t="s">
        <v>32</v>
      </c>
      <c r="B26" t="str">
        <f>_xlfn.TEXTBEFORE(_xlfn.TEXTAFTER(A26,"cas-"),"_")</f>
        <v>104-43-8</v>
      </c>
      <c r="C26" t="s">
        <v>22</v>
      </c>
      <c r="D26" t="s">
        <v>23</v>
      </c>
      <c r="E26" t="s">
        <v>12</v>
      </c>
      <c r="F26">
        <v>-6.81</v>
      </c>
      <c r="G26">
        <v>0.91879999999999995</v>
      </c>
      <c r="H26">
        <v>7.7050000000000001</v>
      </c>
      <c r="I26">
        <v>7.0793539999999986</v>
      </c>
      <c r="K26" t="str">
        <f>INDEX([1]Sheet1!$A$1:$G$108, MATCH(B26,[1]Sheet1!$B:$B,0), 1)</f>
        <v>4-Dodecylphenol</v>
      </c>
      <c r="L26" t="str">
        <f>INDEX([1]Sheet1!$A$1:$G$108, MATCH(B26,[1]Sheet1!$B:$B,0), 3)</f>
        <v>moderate</v>
      </c>
      <c r="M26" t="s">
        <v>109</v>
      </c>
    </row>
    <row r="27" spans="1:13" x14ac:dyDescent="0.3">
      <c r="A27" t="s">
        <v>32</v>
      </c>
      <c r="B27" t="str">
        <f>_xlfn.TEXTBEFORE(_xlfn.TEXTAFTER(A27,"cas-"),"_")</f>
        <v>104-43-8</v>
      </c>
      <c r="C27" t="s">
        <v>30</v>
      </c>
      <c r="D27" t="s">
        <v>31</v>
      </c>
      <c r="E27" t="s">
        <v>12</v>
      </c>
      <c r="F27">
        <v>-6.94</v>
      </c>
      <c r="G27">
        <v>0.9153</v>
      </c>
      <c r="H27">
        <v>8.0660000000000007</v>
      </c>
      <c r="I27">
        <v>7.3828098000000004</v>
      </c>
      <c r="K27" t="str">
        <f>INDEX([1]Sheet1!$A$1:$G$108, MATCH(B27,[1]Sheet1!$B:$B,0), 1)</f>
        <v>4-Dodecylphenol</v>
      </c>
      <c r="L27" t="str">
        <f>INDEX([1]Sheet1!$A$1:$G$108, MATCH(B27,[1]Sheet1!$B:$B,0), 3)</f>
        <v>moderate</v>
      </c>
      <c r="M27" t="s">
        <v>109</v>
      </c>
    </row>
    <row r="28" spans="1:13" x14ac:dyDescent="0.3">
      <c r="A28" t="s">
        <v>33</v>
      </c>
      <c r="B28" t="str">
        <f>_xlfn.TEXTBEFORE(_xlfn.TEXTAFTER(A28,"cas-"),"_")</f>
        <v>1085-12-7</v>
      </c>
      <c r="C28" t="s">
        <v>24</v>
      </c>
      <c r="D28" t="s">
        <v>25</v>
      </c>
      <c r="E28" t="s">
        <v>12</v>
      </c>
      <c r="F28">
        <v>-6.19</v>
      </c>
      <c r="G28">
        <v>0.85899999999999999</v>
      </c>
      <c r="H28">
        <v>6.9950000000000001</v>
      </c>
      <c r="I28">
        <v>6.008705</v>
      </c>
      <c r="K28" t="str">
        <f>INDEX([1]Sheet1!$A$1:$G$108, MATCH(B28,[1]Sheet1!$B:$B,0), 1)</f>
        <v>Heptyl p-hydroxybenzoate</v>
      </c>
      <c r="L28" t="str">
        <f>INDEX([1]Sheet1!$A$1:$G$108, MATCH(B28,[1]Sheet1!$B:$B,0), 3)</f>
        <v>weak</v>
      </c>
      <c r="M28" t="s">
        <v>109</v>
      </c>
    </row>
    <row r="29" spans="1:13" x14ac:dyDescent="0.3">
      <c r="A29" t="s">
        <v>33</v>
      </c>
      <c r="B29" t="str">
        <f>_xlfn.TEXTBEFORE(_xlfn.TEXTAFTER(A29,"cas-"),"_")</f>
        <v>1085-12-7</v>
      </c>
      <c r="C29" t="s">
        <v>10</v>
      </c>
      <c r="D29" t="s">
        <v>11</v>
      </c>
      <c r="E29" t="s">
        <v>12</v>
      </c>
      <c r="F29">
        <v>-7</v>
      </c>
      <c r="G29">
        <v>0.90300000000000002</v>
      </c>
      <c r="H29">
        <v>6.5039999999999996</v>
      </c>
      <c r="I29">
        <v>5.8731119999999999</v>
      </c>
      <c r="K29" t="str">
        <f>INDEX([1]Sheet1!$A$1:$G$108, MATCH(B29,[1]Sheet1!$B:$B,0), 1)</f>
        <v>Heptyl p-hydroxybenzoate</v>
      </c>
      <c r="L29" t="str">
        <f>INDEX([1]Sheet1!$A$1:$G$108, MATCH(B29,[1]Sheet1!$B:$B,0), 3)</f>
        <v>weak</v>
      </c>
      <c r="M29" t="s">
        <v>109</v>
      </c>
    </row>
    <row r="30" spans="1:13" x14ac:dyDescent="0.3">
      <c r="A30" t="s">
        <v>33</v>
      </c>
      <c r="B30" t="str">
        <f>_xlfn.TEXTBEFORE(_xlfn.TEXTAFTER(A30,"cas-"),"_")</f>
        <v>1085-12-7</v>
      </c>
      <c r="C30" t="s">
        <v>17</v>
      </c>
      <c r="D30" t="s">
        <v>11</v>
      </c>
      <c r="E30" t="s">
        <v>12</v>
      </c>
      <c r="F30">
        <v>-6.79</v>
      </c>
      <c r="G30">
        <v>0.90310000000000001</v>
      </c>
      <c r="H30">
        <v>7.0720000000000001</v>
      </c>
      <c r="I30">
        <v>6.3867231999999996</v>
      </c>
      <c r="K30" t="str">
        <f>INDEX([1]Sheet1!$A$1:$G$108, MATCH(B30,[1]Sheet1!$B:$B,0), 1)</f>
        <v>Heptyl p-hydroxybenzoate</v>
      </c>
      <c r="L30" t="str">
        <f>INDEX([1]Sheet1!$A$1:$G$108, MATCH(B30,[1]Sheet1!$B:$B,0), 3)</f>
        <v>weak</v>
      </c>
      <c r="M30" t="s">
        <v>109</v>
      </c>
    </row>
    <row r="31" spans="1:13" x14ac:dyDescent="0.3">
      <c r="A31" t="s">
        <v>33</v>
      </c>
      <c r="B31" t="str">
        <f>_xlfn.TEXTBEFORE(_xlfn.TEXTAFTER(A31,"cas-"),"_")</f>
        <v>1085-12-7</v>
      </c>
      <c r="C31" t="s">
        <v>26</v>
      </c>
      <c r="D31" t="s">
        <v>14</v>
      </c>
      <c r="E31" t="s">
        <v>12</v>
      </c>
      <c r="F31">
        <v>-6.88</v>
      </c>
      <c r="G31">
        <v>0.91879999999999995</v>
      </c>
      <c r="H31">
        <v>6.423</v>
      </c>
      <c r="I31">
        <v>5.9014524000000002</v>
      </c>
      <c r="K31" t="str">
        <f>INDEX([1]Sheet1!$A$1:$G$108, MATCH(B31,[1]Sheet1!$B:$B,0), 1)</f>
        <v>Heptyl p-hydroxybenzoate</v>
      </c>
      <c r="L31" t="str">
        <f>INDEX([1]Sheet1!$A$1:$G$108, MATCH(B31,[1]Sheet1!$B:$B,0), 3)</f>
        <v>weak</v>
      </c>
      <c r="M31" t="s">
        <v>109</v>
      </c>
    </row>
    <row r="32" spans="1:13" x14ac:dyDescent="0.3">
      <c r="A32" t="s">
        <v>33</v>
      </c>
      <c r="B32" t="str">
        <f>_xlfn.TEXTBEFORE(_xlfn.TEXTAFTER(A32,"cas-"),"_")</f>
        <v>1085-12-7</v>
      </c>
      <c r="C32" t="s">
        <v>19</v>
      </c>
      <c r="D32" t="s">
        <v>20</v>
      </c>
      <c r="E32" t="s">
        <v>12</v>
      </c>
      <c r="F32">
        <v>-6.5</v>
      </c>
      <c r="G32">
        <v>0.86560000000000004</v>
      </c>
      <c r="H32">
        <v>6.4530000000000003</v>
      </c>
      <c r="I32">
        <v>5.5857168000000001</v>
      </c>
      <c r="K32" t="str">
        <f>INDEX([1]Sheet1!$A$1:$G$108, MATCH(B32,[1]Sheet1!$B:$B,0), 1)</f>
        <v>Heptyl p-hydroxybenzoate</v>
      </c>
      <c r="L32" t="str">
        <f>INDEX([1]Sheet1!$A$1:$G$108, MATCH(B32,[1]Sheet1!$B:$B,0), 3)</f>
        <v>weak</v>
      </c>
      <c r="M32" t="s">
        <v>109</v>
      </c>
    </row>
    <row r="33" spans="1:13" x14ac:dyDescent="0.3">
      <c r="A33" t="s">
        <v>33</v>
      </c>
      <c r="B33" t="str">
        <f>_xlfn.TEXTBEFORE(_xlfn.TEXTAFTER(A33,"cas-"),"_")</f>
        <v>1085-12-7</v>
      </c>
      <c r="C33" t="s">
        <v>15</v>
      </c>
      <c r="D33" t="s">
        <v>16</v>
      </c>
      <c r="E33" t="s">
        <v>12</v>
      </c>
      <c r="F33">
        <v>-6.79</v>
      </c>
      <c r="G33">
        <v>0.8498</v>
      </c>
      <c r="H33">
        <v>6.4509999999999996</v>
      </c>
      <c r="I33">
        <v>5.4820598</v>
      </c>
      <c r="K33" t="str">
        <f>INDEX([1]Sheet1!$A$1:$G$108, MATCH(B33,[1]Sheet1!$B:$B,0), 1)</f>
        <v>Heptyl p-hydroxybenzoate</v>
      </c>
      <c r="L33" t="str">
        <f>INDEX([1]Sheet1!$A$1:$G$108, MATCH(B33,[1]Sheet1!$B:$B,0), 3)</f>
        <v>weak</v>
      </c>
      <c r="M33" t="s">
        <v>109</v>
      </c>
    </row>
    <row r="34" spans="1:13" x14ac:dyDescent="0.3">
      <c r="A34" t="s">
        <v>33</v>
      </c>
      <c r="B34" t="str">
        <f>_xlfn.TEXTBEFORE(_xlfn.TEXTAFTER(A34,"cas-"),"_")</f>
        <v>1085-12-7</v>
      </c>
      <c r="C34" t="s">
        <v>22</v>
      </c>
      <c r="D34" t="s">
        <v>23</v>
      </c>
      <c r="E34" t="s">
        <v>12</v>
      </c>
      <c r="F34">
        <v>-6.6</v>
      </c>
      <c r="G34">
        <v>0.86429999999999996</v>
      </c>
      <c r="H34">
        <v>6.6680000000000001</v>
      </c>
      <c r="I34">
        <v>5.7631524000000001</v>
      </c>
      <c r="K34" t="str">
        <f>INDEX([1]Sheet1!$A$1:$G$108, MATCH(B34,[1]Sheet1!$B:$B,0), 1)</f>
        <v>Heptyl p-hydroxybenzoate</v>
      </c>
      <c r="L34" t="str">
        <f>INDEX([1]Sheet1!$A$1:$G$108, MATCH(B34,[1]Sheet1!$B:$B,0), 3)</f>
        <v>weak</v>
      </c>
      <c r="M34" t="s">
        <v>109</v>
      </c>
    </row>
    <row r="35" spans="1:13" x14ac:dyDescent="0.3">
      <c r="A35" t="s">
        <v>33</v>
      </c>
      <c r="B35" t="str">
        <f>_xlfn.TEXTBEFORE(_xlfn.TEXTAFTER(A35,"cas-"),"_")</f>
        <v>1085-12-7</v>
      </c>
      <c r="C35" t="s">
        <v>18</v>
      </c>
      <c r="D35" t="s">
        <v>11</v>
      </c>
      <c r="E35" t="s">
        <v>12</v>
      </c>
      <c r="F35">
        <v>-6.77</v>
      </c>
      <c r="G35">
        <v>0.87929999999999997</v>
      </c>
      <c r="H35">
        <v>6.8369999999999997</v>
      </c>
      <c r="I35">
        <v>6.0117740999999993</v>
      </c>
      <c r="K35" t="str">
        <f>INDEX([1]Sheet1!$A$1:$G$108, MATCH(B35,[1]Sheet1!$B:$B,0), 1)</f>
        <v>Heptyl p-hydroxybenzoate</v>
      </c>
      <c r="L35" t="str">
        <f>INDEX([1]Sheet1!$A$1:$G$108, MATCH(B35,[1]Sheet1!$B:$B,0), 3)</f>
        <v>weak</v>
      </c>
      <c r="M35" t="s">
        <v>109</v>
      </c>
    </row>
    <row r="36" spans="1:13" x14ac:dyDescent="0.3">
      <c r="A36" t="s">
        <v>33</v>
      </c>
      <c r="B36" t="str">
        <f>_xlfn.TEXTBEFORE(_xlfn.TEXTAFTER(A36,"cas-"),"_")</f>
        <v>1085-12-7</v>
      </c>
      <c r="C36" t="s">
        <v>27</v>
      </c>
      <c r="D36" t="s">
        <v>11</v>
      </c>
      <c r="E36" t="s">
        <v>12</v>
      </c>
      <c r="F36">
        <v>-7.22</v>
      </c>
      <c r="G36">
        <v>0.90880000000000005</v>
      </c>
      <c r="H36">
        <v>7.3049999999999997</v>
      </c>
      <c r="I36">
        <v>6.6387840000000002</v>
      </c>
      <c r="K36" t="str">
        <f>INDEX([1]Sheet1!$A$1:$G$108, MATCH(B36,[1]Sheet1!$B:$B,0), 1)</f>
        <v>Heptyl p-hydroxybenzoate</v>
      </c>
      <c r="L36" t="str">
        <f>INDEX([1]Sheet1!$A$1:$G$108, MATCH(B36,[1]Sheet1!$B:$B,0), 3)</f>
        <v>weak</v>
      </c>
      <c r="M36" t="s">
        <v>109</v>
      </c>
    </row>
    <row r="37" spans="1:13" x14ac:dyDescent="0.3">
      <c r="A37" t="s">
        <v>33</v>
      </c>
      <c r="B37" t="str">
        <f>_xlfn.TEXTBEFORE(_xlfn.TEXTAFTER(A37,"cas-"),"_")</f>
        <v>1085-12-7</v>
      </c>
      <c r="C37" t="s">
        <v>28</v>
      </c>
      <c r="D37" t="s">
        <v>29</v>
      </c>
      <c r="E37" t="s">
        <v>12</v>
      </c>
      <c r="F37">
        <v>-6.42</v>
      </c>
      <c r="G37">
        <v>0.88649999999999995</v>
      </c>
      <c r="H37">
        <v>6.7229999999999999</v>
      </c>
      <c r="I37">
        <v>5.9599394999999999</v>
      </c>
      <c r="K37" t="str">
        <f>INDEX([1]Sheet1!$A$1:$G$108, MATCH(B37,[1]Sheet1!$B:$B,0), 1)</f>
        <v>Heptyl p-hydroxybenzoate</v>
      </c>
      <c r="L37" t="str">
        <f>INDEX([1]Sheet1!$A$1:$G$108, MATCH(B37,[1]Sheet1!$B:$B,0), 3)</f>
        <v>weak</v>
      </c>
      <c r="M37" t="s">
        <v>109</v>
      </c>
    </row>
    <row r="38" spans="1:13" x14ac:dyDescent="0.3">
      <c r="A38" t="s">
        <v>33</v>
      </c>
      <c r="B38" t="str">
        <f>_xlfn.TEXTBEFORE(_xlfn.TEXTAFTER(A38,"cas-"),"_")</f>
        <v>1085-12-7</v>
      </c>
      <c r="C38" t="s">
        <v>13</v>
      </c>
      <c r="D38" t="s">
        <v>14</v>
      </c>
      <c r="E38" t="s">
        <v>12</v>
      </c>
      <c r="F38">
        <v>-6.82</v>
      </c>
      <c r="G38">
        <v>0.91669999999999996</v>
      </c>
      <c r="H38">
        <v>6.8330000000000002</v>
      </c>
      <c r="I38">
        <v>6.2638110999999999</v>
      </c>
      <c r="K38" t="str">
        <f>INDEX([1]Sheet1!$A$1:$G$108, MATCH(B38,[1]Sheet1!$B:$B,0), 1)</f>
        <v>Heptyl p-hydroxybenzoate</v>
      </c>
      <c r="L38" t="str">
        <f>INDEX([1]Sheet1!$A$1:$G$108, MATCH(B38,[1]Sheet1!$B:$B,0), 3)</f>
        <v>weak</v>
      </c>
      <c r="M38" t="s">
        <v>109</v>
      </c>
    </row>
    <row r="39" spans="1:13" x14ac:dyDescent="0.3">
      <c r="A39" t="s">
        <v>33</v>
      </c>
      <c r="B39" t="str">
        <f>_xlfn.TEXTBEFORE(_xlfn.TEXTAFTER(A39,"cas-"),"_")</f>
        <v>1085-12-7</v>
      </c>
      <c r="C39" t="s">
        <v>30</v>
      </c>
      <c r="D39" t="s">
        <v>31</v>
      </c>
      <c r="E39" t="s">
        <v>12</v>
      </c>
      <c r="F39">
        <v>-5.86</v>
      </c>
      <c r="G39">
        <v>0.85509999999999997</v>
      </c>
      <c r="H39">
        <v>6.5810000000000004</v>
      </c>
      <c r="I39">
        <v>5.6274131000000001</v>
      </c>
      <c r="K39" t="str">
        <f>INDEX([1]Sheet1!$A$1:$G$108, MATCH(B39,[1]Sheet1!$B:$B,0), 1)</f>
        <v>Heptyl p-hydroxybenzoate</v>
      </c>
      <c r="L39" t="str">
        <f>INDEX([1]Sheet1!$A$1:$G$108, MATCH(B39,[1]Sheet1!$B:$B,0), 3)</f>
        <v>weak</v>
      </c>
      <c r="M39" t="s">
        <v>109</v>
      </c>
    </row>
    <row r="40" spans="1:13" x14ac:dyDescent="0.3">
      <c r="A40" t="s">
        <v>33</v>
      </c>
      <c r="B40" t="str">
        <f>_xlfn.TEXTBEFORE(_xlfn.TEXTAFTER(A40,"cas-"),"_")</f>
        <v>1085-12-7</v>
      </c>
      <c r="C40" t="s">
        <v>21</v>
      </c>
      <c r="D40" t="s">
        <v>11</v>
      </c>
      <c r="E40" t="s">
        <v>12</v>
      </c>
      <c r="F40">
        <v>-6.3</v>
      </c>
      <c r="G40">
        <v>0.89229999999999998</v>
      </c>
      <c r="H40">
        <v>6.6529999999999996</v>
      </c>
      <c r="I40">
        <v>5.9364718999999999</v>
      </c>
      <c r="K40" t="str">
        <f>INDEX([1]Sheet1!$A$1:$G$108, MATCH(B40,[1]Sheet1!$B:$B,0), 1)</f>
        <v>Heptyl p-hydroxybenzoate</v>
      </c>
      <c r="L40" t="str">
        <f>INDEX([1]Sheet1!$A$1:$G$108, MATCH(B40,[1]Sheet1!$B:$B,0), 3)</f>
        <v>weak</v>
      </c>
      <c r="M40" t="s">
        <v>109</v>
      </c>
    </row>
    <row r="41" spans="1:13" x14ac:dyDescent="0.3">
      <c r="A41" t="s">
        <v>34</v>
      </c>
      <c r="B41" t="str">
        <f>_xlfn.TEXTBEFORE(_xlfn.TEXTAFTER(A41,"cas-"),"_")</f>
        <v>121-33-5</v>
      </c>
      <c r="C41" t="s">
        <v>28</v>
      </c>
      <c r="D41" t="s">
        <v>29</v>
      </c>
      <c r="E41" t="s">
        <v>12</v>
      </c>
      <c r="F41">
        <v>-5.33</v>
      </c>
      <c r="G41">
        <v>0.59450000000000003</v>
      </c>
      <c r="H41">
        <v>4.407</v>
      </c>
      <c r="I41">
        <v>2.6199615000000001</v>
      </c>
      <c r="K41" t="str">
        <f>INDEX([1]Sheet1!$A$1:$G$108, MATCH(B41,[1]Sheet1!$B:$B,0), 1)</f>
        <v>Vanillin</v>
      </c>
      <c r="L41" t="str">
        <f>INDEX([1]Sheet1!$A$1:$G$108, MATCH(B41,[1]Sheet1!$B:$B,0), 3)</f>
        <v>weak</v>
      </c>
      <c r="M41" t="s">
        <v>109</v>
      </c>
    </row>
    <row r="42" spans="1:13" x14ac:dyDescent="0.3">
      <c r="A42" t="s">
        <v>34</v>
      </c>
      <c r="B42" t="str">
        <f>_xlfn.TEXTBEFORE(_xlfn.TEXTAFTER(A42,"cas-"),"_")</f>
        <v>121-33-5</v>
      </c>
      <c r="C42" t="s">
        <v>27</v>
      </c>
      <c r="D42" t="s">
        <v>11</v>
      </c>
      <c r="E42" t="s">
        <v>12</v>
      </c>
      <c r="F42">
        <v>-5.36</v>
      </c>
      <c r="G42">
        <v>0.81330000000000002</v>
      </c>
      <c r="H42">
        <v>4.4909999999999997</v>
      </c>
      <c r="I42">
        <v>3.6525303</v>
      </c>
      <c r="K42" t="str">
        <f>INDEX([1]Sheet1!$A$1:$G$108, MATCH(B42,[1]Sheet1!$B:$B,0), 1)</f>
        <v>Vanillin</v>
      </c>
      <c r="L42" t="str">
        <f>INDEX([1]Sheet1!$A$1:$G$108, MATCH(B42,[1]Sheet1!$B:$B,0), 3)</f>
        <v>weak</v>
      </c>
      <c r="M42" t="s">
        <v>109</v>
      </c>
    </row>
    <row r="43" spans="1:13" x14ac:dyDescent="0.3">
      <c r="A43" t="s">
        <v>34</v>
      </c>
      <c r="B43" t="str">
        <f>_xlfn.TEXTBEFORE(_xlfn.TEXTAFTER(A43,"cas-"),"_")</f>
        <v>121-33-5</v>
      </c>
      <c r="C43" t="s">
        <v>10</v>
      </c>
      <c r="D43" t="s">
        <v>11</v>
      </c>
      <c r="E43" t="s">
        <v>12</v>
      </c>
      <c r="F43">
        <v>-5.14</v>
      </c>
      <c r="G43">
        <v>0.71579999999999999</v>
      </c>
      <c r="H43">
        <v>4.6319999999999997</v>
      </c>
      <c r="I43">
        <v>3.3155855999999999</v>
      </c>
      <c r="K43" t="str">
        <f>INDEX([1]Sheet1!$A$1:$G$108, MATCH(B43,[1]Sheet1!$B:$B,0), 1)</f>
        <v>Vanillin</v>
      </c>
      <c r="L43" t="str">
        <f>INDEX([1]Sheet1!$A$1:$G$108, MATCH(B43,[1]Sheet1!$B:$B,0), 3)</f>
        <v>weak</v>
      </c>
      <c r="M43" t="s">
        <v>109</v>
      </c>
    </row>
    <row r="44" spans="1:13" x14ac:dyDescent="0.3">
      <c r="A44" t="s">
        <v>34</v>
      </c>
      <c r="B44" t="str">
        <f>_xlfn.TEXTBEFORE(_xlfn.TEXTAFTER(A44,"cas-"),"_")</f>
        <v>121-33-5</v>
      </c>
      <c r="C44" t="s">
        <v>22</v>
      </c>
      <c r="D44" t="s">
        <v>23</v>
      </c>
      <c r="E44" t="s">
        <v>12</v>
      </c>
      <c r="F44">
        <v>-4.54</v>
      </c>
      <c r="G44">
        <v>0.57330000000000003</v>
      </c>
      <c r="H44">
        <v>3.9769999999999999</v>
      </c>
      <c r="I44">
        <v>2.2800140999999998</v>
      </c>
      <c r="K44" t="str">
        <f>INDEX([1]Sheet1!$A$1:$G$108, MATCH(B44,[1]Sheet1!$B:$B,0), 1)</f>
        <v>Vanillin</v>
      </c>
      <c r="L44" t="str">
        <f>INDEX([1]Sheet1!$A$1:$G$108, MATCH(B44,[1]Sheet1!$B:$B,0), 3)</f>
        <v>weak</v>
      </c>
      <c r="M44" t="s">
        <v>109</v>
      </c>
    </row>
    <row r="45" spans="1:13" x14ac:dyDescent="0.3">
      <c r="A45" t="s">
        <v>34</v>
      </c>
      <c r="B45" t="str">
        <f>_xlfn.TEXTBEFORE(_xlfn.TEXTAFTER(A45,"cas-"),"_")</f>
        <v>121-33-5</v>
      </c>
      <c r="C45" t="s">
        <v>13</v>
      </c>
      <c r="D45" t="s">
        <v>14</v>
      </c>
      <c r="E45" t="s">
        <v>12</v>
      </c>
      <c r="F45">
        <v>-5.39</v>
      </c>
      <c r="G45">
        <v>0.75849999999999995</v>
      </c>
      <c r="H45">
        <v>4.5620000000000003</v>
      </c>
      <c r="I45">
        <v>3.460277</v>
      </c>
      <c r="K45" t="str">
        <f>INDEX([1]Sheet1!$A$1:$G$108, MATCH(B45,[1]Sheet1!$B:$B,0), 1)</f>
        <v>Vanillin</v>
      </c>
      <c r="L45" t="str">
        <f>INDEX([1]Sheet1!$A$1:$G$108, MATCH(B45,[1]Sheet1!$B:$B,0), 3)</f>
        <v>weak</v>
      </c>
      <c r="M45" t="s">
        <v>109</v>
      </c>
    </row>
    <row r="46" spans="1:13" x14ac:dyDescent="0.3">
      <c r="A46" t="s">
        <v>34</v>
      </c>
      <c r="B46" t="str">
        <f>_xlfn.TEXTBEFORE(_xlfn.TEXTAFTER(A46,"cas-"),"_")</f>
        <v>121-33-5</v>
      </c>
      <c r="C46" t="s">
        <v>17</v>
      </c>
      <c r="D46" t="s">
        <v>11</v>
      </c>
      <c r="E46" t="s">
        <v>12</v>
      </c>
      <c r="F46">
        <v>-5.59</v>
      </c>
      <c r="G46">
        <v>0.77290000000000003</v>
      </c>
      <c r="H46">
        <v>4.6180000000000003</v>
      </c>
      <c r="I46">
        <v>3.5692522000000002</v>
      </c>
      <c r="K46" t="str">
        <f>INDEX([1]Sheet1!$A$1:$G$108, MATCH(B46,[1]Sheet1!$B:$B,0), 1)</f>
        <v>Vanillin</v>
      </c>
      <c r="L46" t="str">
        <f>INDEX([1]Sheet1!$A$1:$G$108, MATCH(B46,[1]Sheet1!$B:$B,0), 3)</f>
        <v>weak</v>
      </c>
      <c r="M46" t="s">
        <v>109</v>
      </c>
    </row>
    <row r="47" spans="1:13" x14ac:dyDescent="0.3">
      <c r="A47" t="s">
        <v>34</v>
      </c>
      <c r="B47" t="str">
        <f>_xlfn.TEXTBEFORE(_xlfn.TEXTAFTER(A47,"cas-"),"_")</f>
        <v>121-33-5</v>
      </c>
      <c r="C47" t="s">
        <v>18</v>
      </c>
      <c r="D47" t="s">
        <v>11</v>
      </c>
      <c r="E47" t="s">
        <v>12</v>
      </c>
      <c r="F47">
        <v>-5.42</v>
      </c>
      <c r="G47">
        <v>0.64170000000000005</v>
      </c>
      <c r="H47">
        <v>3.7890000000000001</v>
      </c>
      <c r="I47">
        <v>2.4314013000000001</v>
      </c>
      <c r="K47" t="str">
        <f>INDEX([1]Sheet1!$A$1:$G$108, MATCH(B47,[1]Sheet1!$B:$B,0), 1)</f>
        <v>Vanillin</v>
      </c>
      <c r="L47" t="str">
        <f>INDEX([1]Sheet1!$A$1:$G$108, MATCH(B47,[1]Sheet1!$B:$B,0), 3)</f>
        <v>weak</v>
      </c>
      <c r="M47" t="s">
        <v>109</v>
      </c>
    </row>
    <row r="48" spans="1:13" x14ac:dyDescent="0.3">
      <c r="A48" t="s">
        <v>34</v>
      </c>
      <c r="B48" t="str">
        <f>_xlfn.TEXTBEFORE(_xlfn.TEXTAFTER(A48,"cas-"),"_")</f>
        <v>121-33-5</v>
      </c>
      <c r="C48" t="s">
        <v>30</v>
      </c>
      <c r="D48" t="s">
        <v>31</v>
      </c>
      <c r="E48" t="s">
        <v>12</v>
      </c>
      <c r="F48">
        <v>-4.97</v>
      </c>
      <c r="G48">
        <v>0.70209999999999995</v>
      </c>
      <c r="H48">
        <v>4.3540000000000001</v>
      </c>
      <c r="I48">
        <v>3.0569434000000002</v>
      </c>
      <c r="K48" t="str">
        <f>INDEX([1]Sheet1!$A$1:$G$108, MATCH(B48,[1]Sheet1!$B:$B,0), 1)</f>
        <v>Vanillin</v>
      </c>
      <c r="L48" t="str">
        <f>INDEX([1]Sheet1!$A$1:$G$108, MATCH(B48,[1]Sheet1!$B:$B,0), 3)</f>
        <v>weak</v>
      </c>
      <c r="M48" t="s">
        <v>109</v>
      </c>
    </row>
    <row r="49" spans="1:13" x14ac:dyDescent="0.3">
      <c r="A49" t="s">
        <v>34</v>
      </c>
      <c r="B49" t="str">
        <f>_xlfn.TEXTBEFORE(_xlfn.TEXTAFTER(A49,"cas-"),"_")</f>
        <v>121-33-5</v>
      </c>
      <c r="C49" t="s">
        <v>19</v>
      </c>
      <c r="D49" t="s">
        <v>20</v>
      </c>
      <c r="E49" t="s">
        <v>12</v>
      </c>
      <c r="F49">
        <v>-5.01</v>
      </c>
      <c r="G49">
        <v>0.71809999999999996</v>
      </c>
      <c r="H49">
        <v>4.2949999999999999</v>
      </c>
      <c r="I49">
        <v>3.0842394999999998</v>
      </c>
      <c r="K49" t="str">
        <f>INDEX([1]Sheet1!$A$1:$G$108, MATCH(B49,[1]Sheet1!$B:$B,0), 1)</f>
        <v>Vanillin</v>
      </c>
      <c r="L49" t="str">
        <f>INDEX([1]Sheet1!$A$1:$G$108, MATCH(B49,[1]Sheet1!$B:$B,0), 3)</f>
        <v>weak</v>
      </c>
      <c r="M49" t="s">
        <v>109</v>
      </c>
    </row>
    <row r="50" spans="1:13" x14ac:dyDescent="0.3">
      <c r="A50" t="s">
        <v>34</v>
      </c>
      <c r="B50" t="str">
        <f>_xlfn.TEXTBEFORE(_xlfn.TEXTAFTER(A50,"cas-"),"_")</f>
        <v>121-33-5</v>
      </c>
      <c r="C50" t="s">
        <v>26</v>
      </c>
      <c r="D50" t="s">
        <v>14</v>
      </c>
      <c r="E50" t="s">
        <v>12</v>
      </c>
      <c r="F50">
        <v>-4.6500000000000004</v>
      </c>
      <c r="G50">
        <v>0.67390000000000005</v>
      </c>
      <c r="H50">
        <v>4.3140000000000001</v>
      </c>
      <c r="I50">
        <v>2.9072046</v>
      </c>
      <c r="K50" t="str">
        <f>INDEX([1]Sheet1!$A$1:$G$108, MATCH(B50,[1]Sheet1!$B:$B,0), 1)</f>
        <v>Vanillin</v>
      </c>
      <c r="L50" t="str">
        <f>INDEX([1]Sheet1!$A$1:$G$108, MATCH(B50,[1]Sheet1!$B:$B,0), 3)</f>
        <v>weak</v>
      </c>
      <c r="M50" t="s">
        <v>109</v>
      </c>
    </row>
    <row r="51" spans="1:13" x14ac:dyDescent="0.3">
      <c r="A51" t="s">
        <v>34</v>
      </c>
      <c r="B51" t="str">
        <f>_xlfn.TEXTBEFORE(_xlfn.TEXTAFTER(A51,"cas-"),"_")</f>
        <v>121-33-5</v>
      </c>
      <c r="C51" t="s">
        <v>21</v>
      </c>
      <c r="D51" t="s">
        <v>11</v>
      </c>
      <c r="E51" t="s">
        <v>12</v>
      </c>
      <c r="F51">
        <v>-4.9800000000000004</v>
      </c>
      <c r="G51">
        <v>0.76470000000000005</v>
      </c>
      <c r="H51">
        <v>4.5039999999999996</v>
      </c>
      <c r="I51">
        <v>3.4442088000000002</v>
      </c>
      <c r="K51" t="str">
        <f>INDEX([1]Sheet1!$A$1:$G$108, MATCH(B51,[1]Sheet1!$B:$B,0), 1)</f>
        <v>Vanillin</v>
      </c>
      <c r="L51" t="str">
        <f>INDEX([1]Sheet1!$A$1:$G$108, MATCH(B51,[1]Sheet1!$B:$B,0), 3)</f>
        <v>weak</v>
      </c>
      <c r="M51" t="s">
        <v>109</v>
      </c>
    </row>
    <row r="52" spans="1:13" x14ac:dyDescent="0.3">
      <c r="A52" t="s">
        <v>34</v>
      </c>
      <c r="B52" t="str">
        <f>_xlfn.TEXTBEFORE(_xlfn.TEXTAFTER(A52,"cas-"),"_")</f>
        <v>121-33-5</v>
      </c>
      <c r="C52" t="s">
        <v>15</v>
      </c>
      <c r="D52" t="s">
        <v>16</v>
      </c>
      <c r="E52" t="s">
        <v>12</v>
      </c>
      <c r="F52">
        <v>-5.07</v>
      </c>
      <c r="G52">
        <v>0.75609999999999999</v>
      </c>
      <c r="H52">
        <v>4.4930000000000003</v>
      </c>
      <c r="I52">
        <v>3.3971572999999999</v>
      </c>
      <c r="K52" t="str">
        <f>INDEX([1]Sheet1!$A$1:$G$108, MATCH(B52,[1]Sheet1!$B:$B,0), 1)</f>
        <v>Vanillin</v>
      </c>
      <c r="L52" t="str">
        <f>INDEX([1]Sheet1!$A$1:$G$108, MATCH(B52,[1]Sheet1!$B:$B,0), 3)</f>
        <v>weak</v>
      </c>
      <c r="M52" t="s">
        <v>109</v>
      </c>
    </row>
    <row r="53" spans="1:13" x14ac:dyDescent="0.3">
      <c r="A53" t="s">
        <v>34</v>
      </c>
      <c r="B53" t="str">
        <f>_xlfn.TEXTBEFORE(_xlfn.TEXTAFTER(A53,"cas-"),"_")</f>
        <v>121-33-5</v>
      </c>
      <c r="C53" t="s">
        <v>24</v>
      </c>
      <c r="D53" t="s">
        <v>25</v>
      </c>
      <c r="E53" t="s">
        <v>12</v>
      </c>
      <c r="F53">
        <v>-5.0999999999999996</v>
      </c>
      <c r="G53">
        <v>0.71189999999999998</v>
      </c>
      <c r="H53">
        <v>4.1029999999999998</v>
      </c>
      <c r="I53">
        <v>2.9209257000000002</v>
      </c>
      <c r="K53" t="str">
        <f>INDEX([1]Sheet1!$A$1:$G$108, MATCH(B53,[1]Sheet1!$B:$B,0), 1)</f>
        <v>Vanillin</v>
      </c>
      <c r="L53" t="str">
        <f>INDEX([1]Sheet1!$A$1:$G$108, MATCH(B53,[1]Sheet1!$B:$B,0), 3)</f>
        <v>weak</v>
      </c>
      <c r="M53" t="s">
        <v>109</v>
      </c>
    </row>
    <row r="54" spans="1:13" x14ac:dyDescent="0.3">
      <c r="A54" t="s">
        <v>35</v>
      </c>
      <c r="B54" t="str">
        <f>_xlfn.TEXTBEFORE(_xlfn.TEXTAFTER(A54,"cas-"),"_")</f>
        <v>1229-24-9</v>
      </c>
      <c r="C54" t="s">
        <v>17</v>
      </c>
      <c r="D54" t="s">
        <v>11</v>
      </c>
      <c r="E54" t="s">
        <v>12</v>
      </c>
      <c r="F54">
        <v>-11.3</v>
      </c>
      <c r="G54">
        <v>0.95199999999999996</v>
      </c>
      <c r="H54">
        <v>8.202</v>
      </c>
      <c r="I54">
        <v>7.8083039999999997</v>
      </c>
      <c r="K54" t="str">
        <f>INDEX([1]Sheet1!$A$1:$G$108, MATCH(B54,[1]Sheet1!$B:$B,0), 1)</f>
        <v>6a-OH-Estradiol</v>
      </c>
      <c r="L54" t="str">
        <f>INDEX([1]Sheet1!$A$1:$G$108, MATCH(B54,[1]Sheet1!$B:$B,0), 3)</f>
        <v>moderate</v>
      </c>
      <c r="M54" t="s">
        <v>109</v>
      </c>
    </row>
    <row r="55" spans="1:13" x14ac:dyDescent="0.3">
      <c r="A55" t="s">
        <v>35</v>
      </c>
      <c r="B55" t="str">
        <f>_xlfn.TEXTBEFORE(_xlfn.TEXTAFTER(A55,"cas-"),"_")</f>
        <v>1229-24-9</v>
      </c>
      <c r="C55" t="s">
        <v>21</v>
      </c>
      <c r="D55" t="s">
        <v>11</v>
      </c>
      <c r="E55" t="s">
        <v>12</v>
      </c>
      <c r="F55">
        <v>-10.94</v>
      </c>
      <c r="G55">
        <v>0.9385</v>
      </c>
      <c r="H55">
        <v>7.8330000000000002</v>
      </c>
      <c r="I55">
        <v>7.3512705</v>
      </c>
      <c r="K55" t="str">
        <f>INDEX([1]Sheet1!$A$1:$G$108, MATCH(B55,[1]Sheet1!$B:$B,0), 1)</f>
        <v>6a-OH-Estradiol</v>
      </c>
      <c r="L55" t="str">
        <f>INDEX([1]Sheet1!$A$1:$G$108, MATCH(B55,[1]Sheet1!$B:$B,0), 3)</f>
        <v>moderate</v>
      </c>
      <c r="M55" t="s">
        <v>109</v>
      </c>
    </row>
    <row r="56" spans="1:13" x14ac:dyDescent="0.3">
      <c r="A56" t="s">
        <v>35</v>
      </c>
      <c r="B56" t="str">
        <f>_xlfn.TEXTBEFORE(_xlfn.TEXTAFTER(A56,"cas-"),"_")</f>
        <v>1229-24-9</v>
      </c>
      <c r="C56" t="s">
        <v>27</v>
      </c>
      <c r="D56" t="s">
        <v>11</v>
      </c>
      <c r="E56" t="s">
        <v>12</v>
      </c>
      <c r="F56">
        <v>-11.38</v>
      </c>
      <c r="G56">
        <v>0.96140000000000003</v>
      </c>
      <c r="H56">
        <v>8.4320000000000004</v>
      </c>
      <c r="I56">
        <v>8.1065248000000008</v>
      </c>
      <c r="K56" t="str">
        <f>INDEX([1]Sheet1!$A$1:$G$108, MATCH(B56,[1]Sheet1!$B:$B,0), 1)</f>
        <v>6a-OH-Estradiol</v>
      </c>
      <c r="L56" t="str">
        <f>INDEX([1]Sheet1!$A$1:$G$108, MATCH(B56,[1]Sheet1!$B:$B,0), 3)</f>
        <v>moderate</v>
      </c>
      <c r="M56" t="s">
        <v>109</v>
      </c>
    </row>
    <row r="57" spans="1:13" x14ac:dyDescent="0.3">
      <c r="A57" t="s">
        <v>35</v>
      </c>
      <c r="B57" t="str">
        <f>_xlfn.TEXTBEFORE(_xlfn.TEXTAFTER(A57,"cas-"),"_")</f>
        <v>1229-24-9</v>
      </c>
      <c r="C57" t="s">
        <v>22</v>
      </c>
      <c r="D57" t="s">
        <v>23</v>
      </c>
      <c r="E57" t="s">
        <v>12</v>
      </c>
      <c r="F57">
        <v>-10.24</v>
      </c>
      <c r="G57">
        <v>0.85729999999999995</v>
      </c>
      <c r="H57">
        <v>7.6580000000000004</v>
      </c>
      <c r="I57">
        <v>6.5652033999999997</v>
      </c>
      <c r="K57" t="str">
        <f>INDEX([1]Sheet1!$A$1:$G$108, MATCH(B57,[1]Sheet1!$B:$B,0), 1)</f>
        <v>6a-OH-Estradiol</v>
      </c>
      <c r="L57" t="str">
        <f>INDEX([1]Sheet1!$A$1:$G$108, MATCH(B57,[1]Sheet1!$B:$B,0), 3)</f>
        <v>moderate</v>
      </c>
      <c r="M57" t="s">
        <v>109</v>
      </c>
    </row>
    <row r="58" spans="1:13" x14ac:dyDescent="0.3">
      <c r="A58" t="s">
        <v>35</v>
      </c>
      <c r="B58" t="str">
        <f>_xlfn.TEXTBEFORE(_xlfn.TEXTAFTER(A58,"cas-"),"_")</f>
        <v>1229-24-9</v>
      </c>
      <c r="C58" t="s">
        <v>15</v>
      </c>
      <c r="D58" t="s">
        <v>16</v>
      </c>
      <c r="E58" t="s">
        <v>12</v>
      </c>
      <c r="F58">
        <v>-10.79</v>
      </c>
      <c r="G58">
        <v>0.9425</v>
      </c>
      <c r="H58">
        <v>7.923</v>
      </c>
      <c r="I58">
        <v>7.4674275000000003</v>
      </c>
      <c r="K58" t="str">
        <f>INDEX([1]Sheet1!$A$1:$G$108, MATCH(B58,[1]Sheet1!$B:$B,0), 1)</f>
        <v>6a-OH-Estradiol</v>
      </c>
      <c r="L58" t="str">
        <f>INDEX([1]Sheet1!$A$1:$G$108, MATCH(B58,[1]Sheet1!$B:$B,0), 3)</f>
        <v>moderate</v>
      </c>
      <c r="M58" t="s">
        <v>109</v>
      </c>
    </row>
    <row r="59" spans="1:13" x14ac:dyDescent="0.3">
      <c r="A59" t="s">
        <v>35</v>
      </c>
      <c r="B59" t="str">
        <f>_xlfn.TEXTBEFORE(_xlfn.TEXTAFTER(A59,"cas-"),"_")</f>
        <v>1229-24-9</v>
      </c>
      <c r="C59" t="s">
        <v>10</v>
      </c>
      <c r="D59" t="s">
        <v>11</v>
      </c>
      <c r="E59" t="s">
        <v>12</v>
      </c>
      <c r="F59">
        <v>-10.98</v>
      </c>
      <c r="G59">
        <v>0.96450000000000002</v>
      </c>
      <c r="H59">
        <v>8.1300000000000008</v>
      </c>
      <c r="I59">
        <v>7.8413850000000007</v>
      </c>
      <c r="K59" t="str">
        <f>INDEX([1]Sheet1!$A$1:$G$108, MATCH(B59,[1]Sheet1!$B:$B,0), 1)</f>
        <v>6a-OH-Estradiol</v>
      </c>
      <c r="L59" t="str">
        <f>INDEX([1]Sheet1!$A$1:$G$108, MATCH(B59,[1]Sheet1!$B:$B,0), 3)</f>
        <v>moderate</v>
      </c>
      <c r="M59" t="s">
        <v>109</v>
      </c>
    </row>
    <row r="60" spans="1:13" x14ac:dyDescent="0.3">
      <c r="A60" t="s">
        <v>35</v>
      </c>
      <c r="B60" t="str">
        <f>_xlfn.TEXTBEFORE(_xlfn.TEXTAFTER(A60,"cas-"),"_")</f>
        <v>1229-24-9</v>
      </c>
      <c r="C60" t="s">
        <v>19</v>
      </c>
      <c r="D60" t="s">
        <v>20</v>
      </c>
      <c r="E60" t="s">
        <v>12</v>
      </c>
      <c r="F60">
        <v>-10.16</v>
      </c>
      <c r="G60">
        <v>0.86499999999999999</v>
      </c>
      <c r="H60">
        <v>7.53</v>
      </c>
      <c r="I60">
        <v>6.5134499999999997</v>
      </c>
      <c r="K60" t="str">
        <f>INDEX([1]Sheet1!$A$1:$G$108, MATCH(B60,[1]Sheet1!$B:$B,0), 1)</f>
        <v>6a-OH-Estradiol</v>
      </c>
      <c r="L60" t="str">
        <f>INDEX([1]Sheet1!$A$1:$G$108, MATCH(B60,[1]Sheet1!$B:$B,0), 3)</f>
        <v>moderate</v>
      </c>
      <c r="M60" t="s">
        <v>109</v>
      </c>
    </row>
    <row r="61" spans="1:13" x14ac:dyDescent="0.3">
      <c r="A61" t="s">
        <v>35</v>
      </c>
      <c r="B61" t="str">
        <f>_xlfn.TEXTBEFORE(_xlfn.TEXTAFTER(A61,"cas-"),"_")</f>
        <v>1229-24-9</v>
      </c>
      <c r="C61" t="s">
        <v>30</v>
      </c>
      <c r="D61" t="s">
        <v>31</v>
      </c>
      <c r="E61" t="s">
        <v>12</v>
      </c>
      <c r="F61">
        <v>-7.98</v>
      </c>
      <c r="G61">
        <v>0.77649999999999997</v>
      </c>
      <c r="H61">
        <v>7.6870000000000003</v>
      </c>
      <c r="I61">
        <v>5.9689554999999999</v>
      </c>
      <c r="K61" t="str">
        <f>INDEX([1]Sheet1!$A$1:$G$108, MATCH(B61,[1]Sheet1!$B:$B,0), 1)</f>
        <v>6a-OH-Estradiol</v>
      </c>
      <c r="L61" t="str">
        <f>INDEX([1]Sheet1!$A$1:$G$108, MATCH(B61,[1]Sheet1!$B:$B,0), 3)</f>
        <v>moderate</v>
      </c>
      <c r="M61" t="s">
        <v>109</v>
      </c>
    </row>
    <row r="62" spans="1:13" x14ac:dyDescent="0.3">
      <c r="A62" t="s">
        <v>35</v>
      </c>
      <c r="B62" t="str">
        <f>_xlfn.TEXTBEFORE(_xlfn.TEXTAFTER(A62,"cas-"),"_")</f>
        <v>1229-24-9</v>
      </c>
      <c r="C62" t="s">
        <v>18</v>
      </c>
      <c r="D62" t="s">
        <v>11</v>
      </c>
      <c r="E62" t="s">
        <v>12</v>
      </c>
      <c r="F62">
        <v>-10.91</v>
      </c>
      <c r="G62">
        <v>0.94310000000000005</v>
      </c>
      <c r="H62">
        <v>7.9530000000000003</v>
      </c>
      <c r="I62">
        <v>7.5004742999999996</v>
      </c>
      <c r="K62" t="str">
        <f>INDEX([1]Sheet1!$A$1:$G$108, MATCH(B62,[1]Sheet1!$B:$B,0), 1)</f>
        <v>6a-OH-Estradiol</v>
      </c>
      <c r="L62" t="str">
        <f>INDEX([1]Sheet1!$A$1:$G$108, MATCH(B62,[1]Sheet1!$B:$B,0), 3)</f>
        <v>moderate</v>
      </c>
      <c r="M62" t="s">
        <v>109</v>
      </c>
    </row>
    <row r="63" spans="1:13" x14ac:dyDescent="0.3">
      <c r="A63" t="s">
        <v>35</v>
      </c>
      <c r="B63" t="str">
        <f>_xlfn.TEXTBEFORE(_xlfn.TEXTAFTER(A63,"cas-"),"_")</f>
        <v>1229-24-9</v>
      </c>
      <c r="C63" t="s">
        <v>26</v>
      </c>
      <c r="D63" t="s">
        <v>14</v>
      </c>
      <c r="E63" t="s">
        <v>12</v>
      </c>
      <c r="F63">
        <v>-10.4</v>
      </c>
      <c r="G63">
        <v>0.90969999999999995</v>
      </c>
      <c r="H63">
        <v>7.9320000000000004</v>
      </c>
      <c r="I63">
        <v>7.2157403999999996</v>
      </c>
      <c r="K63" t="str">
        <f>INDEX([1]Sheet1!$A$1:$G$108, MATCH(B63,[1]Sheet1!$B:$B,0), 1)</f>
        <v>6a-OH-Estradiol</v>
      </c>
      <c r="L63" t="str">
        <f>INDEX([1]Sheet1!$A$1:$G$108, MATCH(B63,[1]Sheet1!$B:$B,0), 3)</f>
        <v>moderate</v>
      </c>
      <c r="M63" t="s">
        <v>109</v>
      </c>
    </row>
    <row r="64" spans="1:13" x14ac:dyDescent="0.3">
      <c r="A64" t="s">
        <v>35</v>
      </c>
      <c r="B64" t="str">
        <f>_xlfn.TEXTBEFORE(_xlfn.TEXTAFTER(A64,"cas-"),"_")</f>
        <v>1229-24-9</v>
      </c>
      <c r="C64" t="s">
        <v>13</v>
      </c>
      <c r="D64" t="s">
        <v>14</v>
      </c>
      <c r="E64" t="s">
        <v>12</v>
      </c>
      <c r="F64">
        <v>-10.71</v>
      </c>
      <c r="G64">
        <v>0.89690000000000003</v>
      </c>
      <c r="H64">
        <v>8.0370000000000008</v>
      </c>
      <c r="I64">
        <v>7.2083853000000007</v>
      </c>
      <c r="K64" t="str">
        <f>INDEX([1]Sheet1!$A$1:$G$108, MATCH(B64,[1]Sheet1!$B:$B,0), 1)</f>
        <v>6a-OH-Estradiol</v>
      </c>
      <c r="L64" t="str">
        <f>INDEX([1]Sheet1!$A$1:$G$108, MATCH(B64,[1]Sheet1!$B:$B,0), 3)</f>
        <v>moderate</v>
      </c>
      <c r="M64" t="s">
        <v>109</v>
      </c>
    </row>
    <row r="65" spans="1:13" x14ac:dyDescent="0.3">
      <c r="A65" t="s">
        <v>35</v>
      </c>
      <c r="B65" t="str">
        <f>_xlfn.TEXTBEFORE(_xlfn.TEXTAFTER(A65,"cas-"),"_")</f>
        <v>1229-24-9</v>
      </c>
      <c r="C65" t="s">
        <v>28</v>
      </c>
      <c r="D65" t="s">
        <v>29</v>
      </c>
      <c r="E65" t="s">
        <v>12</v>
      </c>
      <c r="F65">
        <v>-9.3800000000000008</v>
      </c>
      <c r="G65">
        <v>0.80269999999999997</v>
      </c>
      <c r="H65">
        <v>7.6580000000000004</v>
      </c>
      <c r="I65">
        <v>6.1470766000000001</v>
      </c>
      <c r="K65" t="str">
        <f>INDEX([1]Sheet1!$A$1:$G$108, MATCH(B65,[1]Sheet1!$B:$B,0), 1)</f>
        <v>6a-OH-Estradiol</v>
      </c>
      <c r="L65" t="str">
        <f>INDEX([1]Sheet1!$A$1:$G$108, MATCH(B65,[1]Sheet1!$B:$B,0), 3)</f>
        <v>moderate</v>
      </c>
      <c r="M65" t="s">
        <v>109</v>
      </c>
    </row>
    <row r="66" spans="1:13" x14ac:dyDescent="0.3">
      <c r="A66" t="s">
        <v>35</v>
      </c>
      <c r="B66" t="str">
        <f>_xlfn.TEXTBEFORE(_xlfn.TEXTAFTER(A66,"cas-"),"_")</f>
        <v>1229-24-9</v>
      </c>
      <c r="C66" t="s">
        <v>24</v>
      </c>
      <c r="D66" t="s">
        <v>25</v>
      </c>
      <c r="E66" t="s">
        <v>12</v>
      </c>
      <c r="F66">
        <v>-10.48</v>
      </c>
      <c r="G66">
        <v>0.878</v>
      </c>
      <c r="H66">
        <v>7.6550000000000002</v>
      </c>
      <c r="I66">
        <v>6.7210900000000002</v>
      </c>
      <c r="K66" t="str">
        <f>INDEX([1]Sheet1!$A$1:$G$108, MATCH(B66,[1]Sheet1!$B:$B,0), 1)</f>
        <v>6a-OH-Estradiol</v>
      </c>
      <c r="L66" t="str">
        <f>INDEX([1]Sheet1!$A$1:$G$108, MATCH(B66,[1]Sheet1!$B:$B,0), 3)</f>
        <v>moderate</v>
      </c>
      <c r="M66" t="s">
        <v>109</v>
      </c>
    </row>
    <row r="67" spans="1:13" x14ac:dyDescent="0.3">
      <c r="A67" t="s">
        <v>36</v>
      </c>
      <c r="B67" t="str">
        <f>_xlfn.TEXTBEFORE(_xlfn.TEXTAFTER(A67,"cas-"),"_")</f>
        <v>126-00-1</v>
      </c>
      <c r="C67" t="s">
        <v>10</v>
      </c>
      <c r="D67" t="s">
        <v>11</v>
      </c>
      <c r="E67" t="s">
        <v>12</v>
      </c>
      <c r="F67">
        <v>-8.59</v>
      </c>
      <c r="G67">
        <v>0.78400000000000003</v>
      </c>
      <c r="H67">
        <v>6.69</v>
      </c>
      <c r="I67">
        <v>5.2449600000000007</v>
      </c>
      <c r="K67" t="str">
        <f>INDEX([1]Sheet1!$A$1:$G$108, MATCH(B67,[1]Sheet1!$B:$B,0), 1)</f>
        <v>Diphenolic acid</v>
      </c>
      <c r="L67" t="str">
        <f>INDEX([1]Sheet1!$A$1:$G$108, MATCH(B67,[1]Sheet1!$B:$B,0), 3)</f>
        <v>weak</v>
      </c>
      <c r="M67" t="s">
        <v>109</v>
      </c>
    </row>
    <row r="68" spans="1:13" x14ac:dyDescent="0.3">
      <c r="A68" t="s">
        <v>36</v>
      </c>
      <c r="B68" t="str">
        <f>_xlfn.TEXTBEFORE(_xlfn.TEXTAFTER(A68,"cas-"),"_")</f>
        <v>126-00-1</v>
      </c>
      <c r="C68" t="s">
        <v>21</v>
      </c>
      <c r="D68" t="s">
        <v>11</v>
      </c>
      <c r="E68" t="s">
        <v>12</v>
      </c>
      <c r="F68">
        <v>-8.8000000000000007</v>
      </c>
      <c r="G68">
        <v>0.90259999999999996</v>
      </c>
      <c r="H68">
        <v>7.0940000000000003</v>
      </c>
      <c r="I68">
        <v>6.4030443999999997</v>
      </c>
      <c r="K68" t="str">
        <f>INDEX([1]Sheet1!$A$1:$G$108, MATCH(B68,[1]Sheet1!$B:$B,0), 1)</f>
        <v>Diphenolic acid</v>
      </c>
      <c r="L68" t="str">
        <f>INDEX([1]Sheet1!$A$1:$G$108, MATCH(B68,[1]Sheet1!$B:$B,0), 3)</f>
        <v>weak</v>
      </c>
      <c r="M68" t="s">
        <v>109</v>
      </c>
    </row>
    <row r="69" spans="1:13" x14ac:dyDescent="0.3">
      <c r="A69" t="s">
        <v>36</v>
      </c>
      <c r="B69" t="str">
        <f>_xlfn.TEXTBEFORE(_xlfn.TEXTAFTER(A69,"cas-"),"_")</f>
        <v>126-00-1</v>
      </c>
      <c r="C69" t="s">
        <v>13</v>
      </c>
      <c r="D69" t="s">
        <v>14</v>
      </c>
      <c r="E69" t="s">
        <v>12</v>
      </c>
      <c r="F69">
        <v>-7.92</v>
      </c>
      <c r="G69">
        <v>0.8911</v>
      </c>
      <c r="H69">
        <v>7.2770000000000001</v>
      </c>
      <c r="I69">
        <v>6.4845347000000002</v>
      </c>
      <c r="K69" t="str">
        <f>INDEX([1]Sheet1!$A$1:$G$108, MATCH(B69,[1]Sheet1!$B:$B,0), 1)</f>
        <v>Diphenolic acid</v>
      </c>
      <c r="L69" t="str">
        <f>INDEX([1]Sheet1!$A$1:$G$108, MATCH(B69,[1]Sheet1!$B:$B,0), 3)</f>
        <v>weak</v>
      </c>
      <c r="M69" t="s">
        <v>109</v>
      </c>
    </row>
    <row r="70" spans="1:13" x14ac:dyDescent="0.3">
      <c r="A70" t="s">
        <v>36</v>
      </c>
      <c r="B70" t="str">
        <f>_xlfn.TEXTBEFORE(_xlfn.TEXTAFTER(A70,"cas-"),"_")</f>
        <v>126-00-1</v>
      </c>
      <c r="C70" t="s">
        <v>28</v>
      </c>
      <c r="D70" t="s">
        <v>29</v>
      </c>
      <c r="E70" t="s">
        <v>12</v>
      </c>
      <c r="F70">
        <v>-8.5</v>
      </c>
      <c r="G70">
        <v>0.84470000000000001</v>
      </c>
      <c r="H70">
        <v>6.9089999999999998</v>
      </c>
      <c r="I70">
        <v>5.8360323000000003</v>
      </c>
      <c r="K70" t="str">
        <f>INDEX([1]Sheet1!$A$1:$G$108, MATCH(B70,[1]Sheet1!$B:$B,0), 1)</f>
        <v>Diphenolic acid</v>
      </c>
      <c r="L70" t="str">
        <f>INDEX([1]Sheet1!$A$1:$G$108, MATCH(B70,[1]Sheet1!$B:$B,0), 3)</f>
        <v>weak</v>
      </c>
      <c r="M70" t="s">
        <v>109</v>
      </c>
    </row>
    <row r="71" spans="1:13" x14ac:dyDescent="0.3">
      <c r="A71" t="s">
        <v>36</v>
      </c>
      <c r="B71" t="str">
        <f>_xlfn.TEXTBEFORE(_xlfn.TEXTAFTER(A71,"cas-"),"_")</f>
        <v>126-00-1</v>
      </c>
      <c r="C71" t="s">
        <v>22</v>
      </c>
      <c r="D71" t="s">
        <v>23</v>
      </c>
      <c r="E71" t="s">
        <v>12</v>
      </c>
      <c r="F71">
        <v>-8.2899999999999991</v>
      </c>
      <c r="G71">
        <v>0.73199999999999998</v>
      </c>
      <c r="H71">
        <v>6.9009999999999998</v>
      </c>
      <c r="I71">
        <v>5.0515319999999999</v>
      </c>
      <c r="K71" t="str">
        <f>INDEX([1]Sheet1!$A$1:$G$108, MATCH(B71,[1]Sheet1!$B:$B,0), 1)</f>
        <v>Diphenolic acid</v>
      </c>
      <c r="L71" t="str">
        <f>INDEX([1]Sheet1!$A$1:$G$108, MATCH(B71,[1]Sheet1!$B:$B,0), 3)</f>
        <v>weak</v>
      </c>
      <c r="M71" t="s">
        <v>109</v>
      </c>
    </row>
    <row r="72" spans="1:13" x14ac:dyDescent="0.3">
      <c r="A72" t="s">
        <v>36</v>
      </c>
      <c r="B72" t="str">
        <f>_xlfn.TEXTBEFORE(_xlfn.TEXTAFTER(A72,"cas-"),"_")</f>
        <v>126-00-1</v>
      </c>
      <c r="C72" t="s">
        <v>17</v>
      </c>
      <c r="D72" t="s">
        <v>11</v>
      </c>
      <c r="E72" t="s">
        <v>12</v>
      </c>
      <c r="F72">
        <v>-9.06</v>
      </c>
      <c r="G72">
        <v>0.80800000000000005</v>
      </c>
      <c r="H72">
        <v>7.4349999999999996</v>
      </c>
      <c r="I72">
        <v>6.0074800000000002</v>
      </c>
      <c r="K72" t="str">
        <f>INDEX([1]Sheet1!$A$1:$G$108, MATCH(B72,[1]Sheet1!$B:$B,0), 1)</f>
        <v>Diphenolic acid</v>
      </c>
      <c r="L72" t="str">
        <f>INDEX([1]Sheet1!$A$1:$G$108, MATCH(B72,[1]Sheet1!$B:$B,0), 3)</f>
        <v>weak</v>
      </c>
      <c r="M72" t="s">
        <v>109</v>
      </c>
    </row>
    <row r="73" spans="1:13" x14ac:dyDescent="0.3">
      <c r="A73" t="s">
        <v>36</v>
      </c>
      <c r="B73" t="str">
        <f>_xlfn.TEXTBEFORE(_xlfn.TEXTAFTER(A73,"cas-"),"_")</f>
        <v>126-00-1</v>
      </c>
      <c r="C73" t="s">
        <v>24</v>
      </c>
      <c r="D73" t="s">
        <v>25</v>
      </c>
      <c r="E73" t="s">
        <v>12</v>
      </c>
      <c r="F73">
        <v>-8.2200000000000006</v>
      </c>
      <c r="G73">
        <v>0.82799999999999996</v>
      </c>
      <c r="H73">
        <v>7.0250000000000004</v>
      </c>
      <c r="I73">
        <v>5.8167</v>
      </c>
      <c r="K73" t="str">
        <f>INDEX([1]Sheet1!$A$1:$G$108, MATCH(B73,[1]Sheet1!$B:$B,0), 1)</f>
        <v>Diphenolic acid</v>
      </c>
      <c r="L73" t="str">
        <f>INDEX([1]Sheet1!$A$1:$G$108, MATCH(B73,[1]Sheet1!$B:$B,0), 3)</f>
        <v>weak</v>
      </c>
      <c r="M73" t="s">
        <v>109</v>
      </c>
    </row>
    <row r="74" spans="1:13" x14ac:dyDescent="0.3">
      <c r="A74" t="s">
        <v>36</v>
      </c>
      <c r="B74" t="str">
        <f>_xlfn.TEXTBEFORE(_xlfn.TEXTAFTER(A74,"cas-"),"_")</f>
        <v>126-00-1</v>
      </c>
      <c r="C74" t="s">
        <v>15</v>
      </c>
      <c r="D74" t="s">
        <v>16</v>
      </c>
      <c r="E74" t="s">
        <v>12</v>
      </c>
      <c r="F74">
        <v>-8.3800000000000008</v>
      </c>
      <c r="G74">
        <v>0.85750000000000004</v>
      </c>
      <c r="H74">
        <v>6.7629999999999999</v>
      </c>
      <c r="I74">
        <v>5.7992724999999998</v>
      </c>
      <c r="K74" t="str">
        <f>INDEX([1]Sheet1!$A$1:$G$108, MATCH(B74,[1]Sheet1!$B:$B,0), 1)</f>
        <v>Diphenolic acid</v>
      </c>
      <c r="L74" t="str">
        <f>INDEX([1]Sheet1!$A$1:$G$108, MATCH(B74,[1]Sheet1!$B:$B,0), 3)</f>
        <v>weak</v>
      </c>
      <c r="M74" t="s">
        <v>109</v>
      </c>
    </row>
    <row r="75" spans="1:13" x14ac:dyDescent="0.3">
      <c r="A75" t="s">
        <v>36</v>
      </c>
      <c r="B75" t="str">
        <f>_xlfn.TEXTBEFORE(_xlfn.TEXTAFTER(A75,"cas-"),"_")</f>
        <v>126-00-1</v>
      </c>
      <c r="C75" t="s">
        <v>26</v>
      </c>
      <c r="D75" t="s">
        <v>14</v>
      </c>
      <c r="E75" t="s">
        <v>12</v>
      </c>
      <c r="F75">
        <v>-7.61</v>
      </c>
      <c r="G75">
        <v>0.8488</v>
      </c>
      <c r="H75">
        <v>7.069</v>
      </c>
      <c r="I75">
        <v>6.0001671999999999</v>
      </c>
      <c r="K75" t="str">
        <f>INDEX([1]Sheet1!$A$1:$G$108, MATCH(B75,[1]Sheet1!$B:$B,0), 1)</f>
        <v>Diphenolic acid</v>
      </c>
      <c r="L75" t="str">
        <f>INDEX([1]Sheet1!$A$1:$G$108, MATCH(B75,[1]Sheet1!$B:$B,0), 3)</f>
        <v>weak</v>
      </c>
      <c r="M75" t="s">
        <v>109</v>
      </c>
    </row>
    <row r="76" spans="1:13" x14ac:dyDescent="0.3">
      <c r="A76" t="s">
        <v>36</v>
      </c>
      <c r="B76" t="str">
        <f>_xlfn.TEXTBEFORE(_xlfn.TEXTAFTER(A76,"cas-"),"_")</f>
        <v>126-00-1</v>
      </c>
      <c r="C76" t="s">
        <v>27</v>
      </c>
      <c r="D76" t="s">
        <v>11</v>
      </c>
      <c r="E76" t="s">
        <v>12</v>
      </c>
      <c r="F76">
        <v>-8.7200000000000006</v>
      </c>
      <c r="G76">
        <v>0.7</v>
      </c>
      <c r="H76">
        <v>7.2830000000000004</v>
      </c>
      <c r="I76">
        <v>5.0980999999999996</v>
      </c>
      <c r="K76" t="str">
        <f>INDEX([1]Sheet1!$A$1:$G$108, MATCH(B76,[1]Sheet1!$B:$B,0), 1)</f>
        <v>Diphenolic acid</v>
      </c>
      <c r="L76" t="str">
        <f>INDEX([1]Sheet1!$A$1:$G$108, MATCH(B76,[1]Sheet1!$B:$B,0), 3)</f>
        <v>weak</v>
      </c>
      <c r="M76" t="s">
        <v>109</v>
      </c>
    </row>
    <row r="77" spans="1:13" x14ac:dyDescent="0.3">
      <c r="A77" t="s">
        <v>36</v>
      </c>
      <c r="B77" t="str">
        <f>_xlfn.TEXTBEFORE(_xlfn.TEXTAFTER(A77,"cas-"),"_")</f>
        <v>126-00-1</v>
      </c>
      <c r="C77" t="s">
        <v>18</v>
      </c>
      <c r="D77" t="s">
        <v>11</v>
      </c>
      <c r="E77" t="s">
        <v>12</v>
      </c>
      <c r="F77">
        <v>-8.5500000000000007</v>
      </c>
      <c r="G77">
        <v>0.79559999999999997</v>
      </c>
      <c r="H77">
        <v>7.0179999999999998</v>
      </c>
      <c r="I77">
        <v>5.5835207999999996</v>
      </c>
      <c r="K77" t="str">
        <f>INDEX([1]Sheet1!$A$1:$G$108, MATCH(B77,[1]Sheet1!$B:$B,0), 1)</f>
        <v>Diphenolic acid</v>
      </c>
      <c r="L77" t="str">
        <f>INDEX([1]Sheet1!$A$1:$G$108, MATCH(B77,[1]Sheet1!$B:$B,0), 3)</f>
        <v>weak</v>
      </c>
      <c r="M77" t="s">
        <v>109</v>
      </c>
    </row>
    <row r="78" spans="1:13" x14ac:dyDescent="0.3">
      <c r="A78" t="s">
        <v>36</v>
      </c>
      <c r="B78" t="str">
        <f>_xlfn.TEXTBEFORE(_xlfn.TEXTAFTER(A78,"cas-"),"_")</f>
        <v>126-00-1</v>
      </c>
      <c r="C78" t="s">
        <v>30</v>
      </c>
      <c r="D78" t="s">
        <v>31</v>
      </c>
      <c r="E78" t="s">
        <v>12</v>
      </c>
      <c r="F78">
        <v>-8.4700000000000006</v>
      </c>
      <c r="G78">
        <v>0.81089999999999995</v>
      </c>
      <c r="H78">
        <v>6.7210000000000001</v>
      </c>
      <c r="I78">
        <v>5.4500589000000002</v>
      </c>
      <c r="K78" t="str">
        <f>INDEX([1]Sheet1!$A$1:$G$108, MATCH(B78,[1]Sheet1!$B:$B,0), 1)</f>
        <v>Diphenolic acid</v>
      </c>
      <c r="L78" t="str">
        <f>INDEX([1]Sheet1!$A$1:$G$108, MATCH(B78,[1]Sheet1!$B:$B,0), 3)</f>
        <v>weak</v>
      </c>
      <c r="M78" t="s">
        <v>109</v>
      </c>
    </row>
    <row r="79" spans="1:13" x14ac:dyDescent="0.3">
      <c r="A79" t="s">
        <v>36</v>
      </c>
      <c r="B79" t="str">
        <f>_xlfn.TEXTBEFORE(_xlfn.TEXTAFTER(A79,"cas-"),"_")</f>
        <v>126-00-1</v>
      </c>
      <c r="C79" t="s">
        <v>19</v>
      </c>
      <c r="D79" t="s">
        <v>20</v>
      </c>
      <c r="E79" t="s">
        <v>12</v>
      </c>
      <c r="F79">
        <v>-8.19</v>
      </c>
      <c r="G79">
        <v>0.91139999999999999</v>
      </c>
      <c r="H79">
        <v>6.9870000000000001</v>
      </c>
      <c r="I79">
        <v>6.3679518000000002</v>
      </c>
      <c r="K79" t="str">
        <f>INDEX([1]Sheet1!$A$1:$G$108, MATCH(B79,[1]Sheet1!$B:$B,0), 1)</f>
        <v>Diphenolic acid</v>
      </c>
      <c r="L79" t="str">
        <f>INDEX([1]Sheet1!$A$1:$G$108, MATCH(B79,[1]Sheet1!$B:$B,0), 3)</f>
        <v>weak</v>
      </c>
      <c r="M79" t="s">
        <v>109</v>
      </c>
    </row>
    <row r="80" spans="1:13" x14ac:dyDescent="0.3">
      <c r="A80" t="s">
        <v>37</v>
      </c>
      <c r="B80" t="str">
        <f>_xlfn.TEXTBEFORE(_xlfn.TEXTAFTER(A80,"cas-"),"_")</f>
        <v>13037-86-0</v>
      </c>
      <c r="C80" t="s">
        <v>28</v>
      </c>
      <c r="D80" t="s">
        <v>29</v>
      </c>
      <c r="E80" t="s">
        <v>12</v>
      </c>
      <c r="F80">
        <v>-6.15</v>
      </c>
      <c r="G80">
        <v>0.81969999999999998</v>
      </c>
      <c r="H80">
        <v>6.4290000000000003</v>
      </c>
      <c r="I80">
        <v>5.2698513</v>
      </c>
      <c r="K80" t="str">
        <f>INDEX([1]Sheet1!$A$1:$G$108, MATCH(B80,[1]Sheet1!$B:$B,0), 1)</f>
        <v>4-Heptyloxyphenol</v>
      </c>
      <c r="L80" t="str">
        <f>INDEX([1]Sheet1!$A$1:$G$108, MATCH(B80,[1]Sheet1!$B:$B,0), 3)</f>
        <v>weak</v>
      </c>
      <c r="M80" t="s">
        <v>109</v>
      </c>
    </row>
    <row r="81" spans="1:13" x14ac:dyDescent="0.3">
      <c r="A81" t="s">
        <v>37</v>
      </c>
      <c r="B81" t="str">
        <f>_xlfn.TEXTBEFORE(_xlfn.TEXTAFTER(A81,"cas-"),"_")</f>
        <v>13037-86-0</v>
      </c>
      <c r="C81" t="s">
        <v>24</v>
      </c>
      <c r="D81" t="s">
        <v>25</v>
      </c>
      <c r="E81" t="s">
        <v>12</v>
      </c>
      <c r="F81">
        <v>-5.4</v>
      </c>
      <c r="G81">
        <v>0.82950000000000002</v>
      </c>
      <c r="H81">
        <v>6.6319999999999997</v>
      </c>
      <c r="I81">
        <v>5.5012439999999998</v>
      </c>
      <c r="K81" t="str">
        <f>INDEX([1]Sheet1!$A$1:$G$108, MATCH(B81,[1]Sheet1!$B:$B,0), 1)</f>
        <v>4-Heptyloxyphenol</v>
      </c>
      <c r="L81" t="str">
        <f>INDEX([1]Sheet1!$A$1:$G$108, MATCH(B81,[1]Sheet1!$B:$B,0), 3)</f>
        <v>weak</v>
      </c>
      <c r="M81" t="s">
        <v>109</v>
      </c>
    </row>
    <row r="82" spans="1:13" x14ac:dyDescent="0.3">
      <c r="A82" t="s">
        <v>37</v>
      </c>
      <c r="B82" t="str">
        <f>_xlfn.TEXTBEFORE(_xlfn.TEXTAFTER(A82,"cas-"),"_")</f>
        <v>13037-86-0</v>
      </c>
      <c r="C82" t="s">
        <v>27</v>
      </c>
      <c r="D82" t="s">
        <v>11</v>
      </c>
      <c r="E82" t="s">
        <v>12</v>
      </c>
      <c r="F82">
        <v>-6.63</v>
      </c>
      <c r="G82">
        <v>0.91879999999999995</v>
      </c>
      <c r="H82">
        <v>7.2720000000000002</v>
      </c>
      <c r="I82">
        <v>6.6815135999999997</v>
      </c>
      <c r="K82" t="str">
        <f>INDEX([1]Sheet1!$A$1:$G$108, MATCH(B82,[1]Sheet1!$B:$B,0), 1)</f>
        <v>4-Heptyloxyphenol</v>
      </c>
      <c r="L82" t="str">
        <f>INDEX([1]Sheet1!$A$1:$G$108, MATCH(B82,[1]Sheet1!$B:$B,0), 3)</f>
        <v>weak</v>
      </c>
      <c r="M82" t="s">
        <v>109</v>
      </c>
    </row>
    <row r="83" spans="1:13" x14ac:dyDescent="0.3">
      <c r="A83" t="s">
        <v>37</v>
      </c>
      <c r="B83" t="str">
        <f>_xlfn.TEXTBEFORE(_xlfn.TEXTAFTER(A83,"cas-"),"_")</f>
        <v>13037-86-0</v>
      </c>
      <c r="C83" t="s">
        <v>26</v>
      </c>
      <c r="D83" t="s">
        <v>14</v>
      </c>
      <c r="E83" t="s">
        <v>12</v>
      </c>
      <c r="F83">
        <v>-6.5</v>
      </c>
      <c r="G83">
        <v>0.90439999999999998</v>
      </c>
      <c r="H83">
        <v>6.3819999999999997</v>
      </c>
      <c r="I83">
        <v>5.7718807999999999</v>
      </c>
      <c r="K83" t="str">
        <f>INDEX([1]Sheet1!$A$1:$G$108, MATCH(B83,[1]Sheet1!$B:$B,0), 1)</f>
        <v>4-Heptyloxyphenol</v>
      </c>
      <c r="L83" t="str">
        <f>INDEX([1]Sheet1!$A$1:$G$108, MATCH(B83,[1]Sheet1!$B:$B,0), 3)</f>
        <v>weak</v>
      </c>
      <c r="M83" t="s">
        <v>109</v>
      </c>
    </row>
    <row r="84" spans="1:13" x14ac:dyDescent="0.3">
      <c r="A84" t="s">
        <v>37</v>
      </c>
      <c r="B84" t="str">
        <f>_xlfn.TEXTBEFORE(_xlfn.TEXTAFTER(A84,"cas-"),"_")</f>
        <v>13037-86-0</v>
      </c>
      <c r="C84" t="s">
        <v>10</v>
      </c>
      <c r="D84" t="s">
        <v>11</v>
      </c>
      <c r="E84" t="s">
        <v>12</v>
      </c>
      <c r="F84">
        <v>-6.2</v>
      </c>
      <c r="G84">
        <v>0.88959999999999995</v>
      </c>
      <c r="H84">
        <v>6.8040000000000003</v>
      </c>
      <c r="I84">
        <v>6.0528383999999997</v>
      </c>
      <c r="K84" t="str">
        <f>INDEX([1]Sheet1!$A$1:$G$108, MATCH(B84,[1]Sheet1!$B:$B,0), 1)</f>
        <v>4-Heptyloxyphenol</v>
      </c>
      <c r="L84" t="str">
        <f>INDEX([1]Sheet1!$A$1:$G$108, MATCH(B84,[1]Sheet1!$B:$B,0), 3)</f>
        <v>weak</v>
      </c>
      <c r="M84" t="s">
        <v>109</v>
      </c>
    </row>
    <row r="85" spans="1:13" x14ac:dyDescent="0.3">
      <c r="A85" t="s">
        <v>37</v>
      </c>
      <c r="B85" t="str">
        <f>_xlfn.TEXTBEFORE(_xlfn.TEXTAFTER(A85,"cas-"),"_")</f>
        <v>13037-86-0</v>
      </c>
      <c r="C85" t="s">
        <v>15</v>
      </c>
      <c r="D85" t="s">
        <v>16</v>
      </c>
      <c r="E85" t="s">
        <v>12</v>
      </c>
      <c r="F85">
        <v>-6.41</v>
      </c>
      <c r="G85">
        <v>0.82479999999999998</v>
      </c>
      <c r="H85">
        <v>6.5170000000000003</v>
      </c>
      <c r="I85">
        <v>5.3752215999999997</v>
      </c>
      <c r="K85" t="str">
        <f>INDEX([1]Sheet1!$A$1:$G$108, MATCH(B85,[1]Sheet1!$B:$B,0), 1)</f>
        <v>4-Heptyloxyphenol</v>
      </c>
      <c r="L85" t="str">
        <f>INDEX([1]Sheet1!$A$1:$G$108, MATCH(B85,[1]Sheet1!$B:$B,0), 3)</f>
        <v>weak</v>
      </c>
      <c r="M85" t="s">
        <v>109</v>
      </c>
    </row>
    <row r="86" spans="1:13" x14ac:dyDescent="0.3">
      <c r="A86" t="s">
        <v>37</v>
      </c>
      <c r="B86" t="str">
        <f>_xlfn.TEXTBEFORE(_xlfn.TEXTAFTER(A86,"cas-"),"_")</f>
        <v>13037-86-0</v>
      </c>
      <c r="C86" t="s">
        <v>13</v>
      </c>
      <c r="D86" t="s">
        <v>14</v>
      </c>
      <c r="E86" t="s">
        <v>12</v>
      </c>
      <c r="F86">
        <v>-6.51</v>
      </c>
      <c r="G86">
        <v>0.92359999999999998</v>
      </c>
      <c r="H86">
        <v>6.73</v>
      </c>
      <c r="I86">
        <v>6.2158280000000001</v>
      </c>
      <c r="K86" t="str">
        <f>INDEX([1]Sheet1!$A$1:$G$108, MATCH(B86,[1]Sheet1!$B:$B,0), 1)</f>
        <v>4-Heptyloxyphenol</v>
      </c>
      <c r="L86" t="str">
        <f>INDEX([1]Sheet1!$A$1:$G$108, MATCH(B86,[1]Sheet1!$B:$B,0), 3)</f>
        <v>weak</v>
      </c>
      <c r="M86" t="s">
        <v>109</v>
      </c>
    </row>
    <row r="87" spans="1:13" x14ac:dyDescent="0.3">
      <c r="A87" t="s">
        <v>37</v>
      </c>
      <c r="B87" t="str">
        <f>_xlfn.TEXTBEFORE(_xlfn.TEXTAFTER(A87,"cas-"),"_")</f>
        <v>13037-86-0</v>
      </c>
      <c r="C87" t="s">
        <v>17</v>
      </c>
      <c r="D87" t="s">
        <v>11</v>
      </c>
      <c r="E87" t="s">
        <v>12</v>
      </c>
      <c r="F87">
        <v>-6.04</v>
      </c>
      <c r="G87">
        <v>0.91920000000000002</v>
      </c>
      <c r="H87">
        <v>6.95</v>
      </c>
      <c r="I87">
        <v>6.3884400000000001</v>
      </c>
      <c r="K87" t="str">
        <f>INDEX([1]Sheet1!$A$1:$G$108, MATCH(B87,[1]Sheet1!$B:$B,0), 1)</f>
        <v>4-Heptyloxyphenol</v>
      </c>
      <c r="L87" t="str">
        <f>INDEX([1]Sheet1!$A$1:$G$108, MATCH(B87,[1]Sheet1!$B:$B,0), 3)</f>
        <v>weak</v>
      </c>
      <c r="M87" t="s">
        <v>109</v>
      </c>
    </row>
    <row r="88" spans="1:13" x14ac:dyDescent="0.3">
      <c r="A88" t="s">
        <v>37</v>
      </c>
      <c r="B88" t="str">
        <f>_xlfn.TEXTBEFORE(_xlfn.TEXTAFTER(A88,"cas-"),"_")</f>
        <v>13037-86-0</v>
      </c>
      <c r="C88" t="s">
        <v>18</v>
      </c>
      <c r="D88" t="s">
        <v>11</v>
      </c>
      <c r="E88" t="s">
        <v>12</v>
      </c>
      <c r="F88">
        <v>-6.1</v>
      </c>
      <c r="G88">
        <v>0.89459999999999995</v>
      </c>
      <c r="H88">
        <v>6.7930000000000001</v>
      </c>
      <c r="I88">
        <v>6.0770178000000001</v>
      </c>
      <c r="K88" t="str">
        <f>INDEX([1]Sheet1!$A$1:$G$108, MATCH(B88,[1]Sheet1!$B:$B,0), 1)</f>
        <v>4-Heptyloxyphenol</v>
      </c>
      <c r="L88" t="str">
        <f>INDEX([1]Sheet1!$A$1:$G$108, MATCH(B88,[1]Sheet1!$B:$B,0), 3)</f>
        <v>weak</v>
      </c>
      <c r="M88" t="s">
        <v>109</v>
      </c>
    </row>
    <row r="89" spans="1:13" x14ac:dyDescent="0.3">
      <c r="A89" t="s">
        <v>37</v>
      </c>
      <c r="B89" t="str">
        <f>_xlfn.TEXTBEFORE(_xlfn.TEXTAFTER(A89,"cas-"),"_")</f>
        <v>13037-86-0</v>
      </c>
      <c r="C89" t="s">
        <v>22</v>
      </c>
      <c r="D89" t="s">
        <v>23</v>
      </c>
      <c r="E89" t="s">
        <v>12</v>
      </c>
      <c r="F89">
        <v>-6.16</v>
      </c>
      <c r="G89">
        <v>0.8841</v>
      </c>
      <c r="H89">
        <v>6.6520000000000001</v>
      </c>
      <c r="I89">
        <v>5.8810332000000001</v>
      </c>
      <c r="K89" t="str">
        <f>INDEX([1]Sheet1!$A$1:$G$108, MATCH(B89,[1]Sheet1!$B:$B,0), 1)</f>
        <v>4-Heptyloxyphenol</v>
      </c>
      <c r="L89" t="str">
        <f>INDEX([1]Sheet1!$A$1:$G$108, MATCH(B89,[1]Sheet1!$B:$B,0), 3)</f>
        <v>weak</v>
      </c>
      <c r="M89" t="s">
        <v>109</v>
      </c>
    </row>
    <row r="90" spans="1:13" x14ac:dyDescent="0.3">
      <c r="A90" t="s">
        <v>37</v>
      </c>
      <c r="B90" t="str">
        <f>_xlfn.TEXTBEFORE(_xlfn.TEXTAFTER(A90,"cas-"),"_")</f>
        <v>13037-86-0</v>
      </c>
      <c r="C90" t="s">
        <v>21</v>
      </c>
      <c r="D90" t="s">
        <v>11</v>
      </c>
      <c r="E90" t="s">
        <v>12</v>
      </c>
      <c r="F90">
        <v>-6.22</v>
      </c>
      <c r="G90">
        <v>0.86509999999999998</v>
      </c>
      <c r="H90">
        <v>6.4710000000000001</v>
      </c>
      <c r="I90">
        <v>5.5980620999999999</v>
      </c>
      <c r="K90" t="str">
        <f>INDEX([1]Sheet1!$A$1:$G$108, MATCH(B90,[1]Sheet1!$B:$B,0), 1)</f>
        <v>4-Heptyloxyphenol</v>
      </c>
      <c r="L90" t="str">
        <f>INDEX([1]Sheet1!$A$1:$G$108, MATCH(B90,[1]Sheet1!$B:$B,0), 3)</f>
        <v>weak</v>
      </c>
      <c r="M90" t="s">
        <v>109</v>
      </c>
    </row>
    <row r="91" spans="1:13" x14ac:dyDescent="0.3">
      <c r="A91" t="s">
        <v>37</v>
      </c>
      <c r="B91" t="str">
        <f>_xlfn.TEXTBEFORE(_xlfn.TEXTAFTER(A91,"cas-"),"_")</f>
        <v>13037-86-0</v>
      </c>
      <c r="C91" t="s">
        <v>30</v>
      </c>
      <c r="D91" t="s">
        <v>31</v>
      </c>
      <c r="E91" t="s">
        <v>12</v>
      </c>
      <c r="F91">
        <v>-6.25</v>
      </c>
      <c r="G91">
        <v>0.90239999999999998</v>
      </c>
      <c r="H91">
        <v>6.6550000000000002</v>
      </c>
      <c r="I91">
        <v>6.0054720000000001</v>
      </c>
      <c r="K91" t="str">
        <f>INDEX([1]Sheet1!$A$1:$G$108, MATCH(B91,[1]Sheet1!$B:$B,0), 1)</f>
        <v>4-Heptyloxyphenol</v>
      </c>
      <c r="L91" t="str">
        <f>INDEX([1]Sheet1!$A$1:$G$108, MATCH(B91,[1]Sheet1!$B:$B,0), 3)</f>
        <v>weak</v>
      </c>
      <c r="M91" t="s">
        <v>109</v>
      </c>
    </row>
    <row r="92" spans="1:13" x14ac:dyDescent="0.3">
      <c r="A92" t="s">
        <v>37</v>
      </c>
      <c r="B92" t="str">
        <f>_xlfn.TEXTBEFORE(_xlfn.TEXTAFTER(A92,"cas-"),"_")</f>
        <v>13037-86-0</v>
      </c>
      <c r="C92" t="s">
        <v>19</v>
      </c>
      <c r="D92" t="s">
        <v>20</v>
      </c>
      <c r="E92" t="s">
        <v>12</v>
      </c>
      <c r="F92">
        <v>-6.02</v>
      </c>
      <c r="G92">
        <v>0.88780000000000003</v>
      </c>
      <c r="H92">
        <v>6.3040000000000003</v>
      </c>
      <c r="I92">
        <v>5.5966912000000004</v>
      </c>
      <c r="K92" t="str">
        <f>INDEX([1]Sheet1!$A$1:$G$108, MATCH(B92,[1]Sheet1!$B:$B,0), 1)</f>
        <v>4-Heptyloxyphenol</v>
      </c>
      <c r="L92" t="str">
        <f>INDEX([1]Sheet1!$A$1:$G$108, MATCH(B92,[1]Sheet1!$B:$B,0), 3)</f>
        <v>weak</v>
      </c>
      <c r="M92" t="s">
        <v>109</v>
      </c>
    </row>
    <row r="93" spans="1:13" x14ac:dyDescent="0.3">
      <c r="A93" t="s">
        <v>38</v>
      </c>
      <c r="B93" t="str">
        <f>_xlfn.TEXTBEFORE(_xlfn.TEXTAFTER(A93,"cas-"),"_")</f>
        <v>131-56-6</v>
      </c>
      <c r="C93" t="s">
        <v>22</v>
      </c>
      <c r="D93" t="s">
        <v>23</v>
      </c>
      <c r="E93" t="s">
        <v>12</v>
      </c>
      <c r="F93">
        <v>-8.3800000000000008</v>
      </c>
      <c r="G93">
        <v>0.88109999999999999</v>
      </c>
      <c r="H93">
        <v>5.8120000000000003</v>
      </c>
      <c r="I93">
        <v>5.1209532000000006</v>
      </c>
      <c r="K93" t="str">
        <f>INDEX([1]Sheet1!$A$1:$G$108, MATCH(B93,[1]Sheet1!$B:$B,0), 1)</f>
        <v>"2,4-Hydroxybenzophenone"</v>
      </c>
      <c r="L93" t="str">
        <f>INDEX([1]Sheet1!$A$1:$G$108, MATCH(B93,[1]Sheet1!$B:$B,0), 3)</f>
        <v>weak</v>
      </c>
      <c r="M93" t="s">
        <v>109</v>
      </c>
    </row>
    <row r="94" spans="1:13" x14ac:dyDescent="0.3">
      <c r="A94" t="s">
        <v>38</v>
      </c>
      <c r="B94" t="str">
        <f>_xlfn.TEXTBEFORE(_xlfn.TEXTAFTER(A94,"cas-"),"_")</f>
        <v>131-56-6</v>
      </c>
      <c r="C94" t="s">
        <v>30</v>
      </c>
      <c r="D94" t="s">
        <v>31</v>
      </c>
      <c r="E94" t="s">
        <v>12</v>
      </c>
      <c r="F94">
        <v>-7.76</v>
      </c>
      <c r="G94">
        <v>0.88549999999999995</v>
      </c>
      <c r="H94">
        <v>6.1189999999999998</v>
      </c>
      <c r="I94">
        <v>5.4183744999999996</v>
      </c>
      <c r="K94" t="str">
        <f>INDEX([1]Sheet1!$A$1:$G$108, MATCH(B94,[1]Sheet1!$B:$B,0), 1)</f>
        <v>"2,4-Hydroxybenzophenone"</v>
      </c>
      <c r="L94" t="str">
        <f>INDEX([1]Sheet1!$A$1:$G$108, MATCH(B94,[1]Sheet1!$B:$B,0), 3)</f>
        <v>weak</v>
      </c>
      <c r="M94" t="s">
        <v>109</v>
      </c>
    </row>
    <row r="95" spans="1:13" x14ac:dyDescent="0.3">
      <c r="A95" t="s">
        <v>38</v>
      </c>
      <c r="B95" t="str">
        <f>_xlfn.TEXTBEFORE(_xlfn.TEXTAFTER(A95,"cas-"),"_")</f>
        <v>131-56-6</v>
      </c>
      <c r="C95" t="s">
        <v>15</v>
      </c>
      <c r="D95" t="s">
        <v>16</v>
      </c>
      <c r="E95" t="s">
        <v>12</v>
      </c>
      <c r="F95">
        <v>-8.82</v>
      </c>
      <c r="G95">
        <v>0.84130000000000005</v>
      </c>
      <c r="H95">
        <v>5.6040000000000001</v>
      </c>
      <c r="I95">
        <v>4.7146452000000014</v>
      </c>
      <c r="K95" t="str">
        <f>INDEX([1]Sheet1!$A$1:$G$108, MATCH(B95,[1]Sheet1!$B:$B,0), 1)</f>
        <v>"2,4-Hydroxybenzophenone"</v>
      </c>
      <c r="L95" t="str">
        <f>INDEX([1]Sheet1!$A$1:$G$108, MATCH(B95,[1]Sheet1!$B:$B,0), 3)</f>
        <v>weak</v>
      </c>
      <c r="M95" t="s">
        <v>109</v>
      </c>
    </row>
    <row r="96" spans="1:13" x14ac:dyDescent="0.3">
      <c r="A96" t="s">
        <v>38</v>
      </c>
      <c r="B96" t="str">
        <f>_xlfn.TEXTBEFORE(_xlfn.TEXTAFTER(A96,"cas-"),"_")</f>
        <v>131-56-6</v>
      </c>
      <c r="C96" t="s">
        <v>27</v>
      </c>
      <c r="D96" t="s">
        <v>11</v>
      </c>
      <c r="E96" t="s">
        <v>12</v>
      </c>
      <c r="F96">
        <v>-8.58</v>
      </c>
      <c r="G96">
        <v>0.79790000000000005</v>
      </c>
      <c r="H96">
        <v>6.3289999999999997</v>
      </c>
      <c r="I96">
        <v>5.0499090999999998</v>
      </c>
      <c r="K96" t="str">
        <f>INDEX([1]Sheet1!$A$1:$G$108, MATCH(B96,[1]Sheet1!$B:$B,0), 1)</f>
        <v>"2,4-Hydroxybenzophenone"</v>
      </c>
      <c r="L96" t="str">
        <f>INDEX([1]Sheet1!$A$1:$G$108, MATCH(B96,[1]Sheet1!$B:$B,0), 3)</f>
        <v>weak</v>
      </c>
      <c r="M96" t="s">
        <v>109</v>
      </c>
    </row>
    <row r="97" spans="1:13" x14ac:dyDescent="0.3">
      <c r="A97" t="s">
        <v>38</v>
      </c>
      <c r="B97" t="str">
        <f>_xlfn.TEXTBEFORE(_xlfn.TEXTAFTER(A97,"cas-"),"_")</f>
        <v>131-56-6</v>
      </c>
      <c r="C97" t="s">
        <v>24</v>
      </c>
      <c r="D97" t="s">
        <v>25</v>
      </c>
      <c r="E97" t="s">
        <v>12</v>
      </c>
      <c r="F97">
        <v>-7.42</v>
      </c>
      <c r="G97">
        <v>0.8075</v>
      </c>
      <c r="H97">
        <v>5.4630000000000001</v>
      </c>
      <c r="I97">
        <v>4.4113724999999997</v>
      </c>
      <c r="K97" t="str">
        <f>INDEX([1]Sheet1!$A$1:$G$108, MATCH(B97,[1]Sheet1!$B:$B,0), 1)</f>
        <v>"2,4-Hydroxybenzophenone"</v>
      </c>
      <c r="L97" t="str">
        <f>INDEX([1]Sheet1!$A$1:$G$108, MATCH(B97,[1]Sheet1!$B:$B,0), 3)</f>
        <v>weak</v>
      </c>
      <c r="M97" t="s">
        <v>109</v>
      </c>
    </row>
    <row r="98" spans="1:13" x14ac:dyDescent="0.3">
      <c r="A98" t="s">
        <v>38</v>
      </c>
      <c r="B98" t="str">
        <f>_xlfn.TEXTBEFORE(_xlfn.TEXTAFTER(A98,"cas-"),"_")</f>
        <v>131-56-6</v>
      </c>
      <c r="C98" t="s">
        <v>17</v>
      </c>
      <c r="D98" t="s">
        <v>11</v>
      </c>
      <c r="E98" t="s">
        <v>12</v>
      </c>
      <c r="F98">
        <v>-8.41</v>
      </c>
      <c r="G98">
        <v>0.85709999999999997</v>
      </c>
      <c r="H98">
        <v>6.4080000000000004</v>
      </c>
      <c r="I98">
        <v>5.4922968000000001</v>
      </c>
      <c r="K98" t="str">
        <f>INDEX([1]Sheet1!$A$1:$G$108, MATCH(B98,[1]Sheet1!$B:$B,0), 1)</f>
        <v>"2,4-Hydroxybenzophenone"</v>
      </c>
      <c r="L98" t="str">
        <f>INDEX([1]Sheet1!$A$1:$G$108, MATCH(B98,[1]Sheet1!$B:$B,0), 3)</f>
        <v>weak</v>
      </c>
      <c r="M98" t="s">
        <v>109</v>
      </c>
    </row>
    <row r="99" spans="1:13" x14ac:dyDescent="0.3">
      <c r="A99" t="s">
        <v>38</v>
      </c>
      <c r="B99" t="str">
        <f>_xlfn.TEXTBEFORE(_xlfn.TEXTAFTER(A99,"cas-"),"_")</f>
        <v>131-56-6</v>
      </c>
      <c r="C99" t="s">
        <v>13</v>
      </c>
      <c r="D99" t="s">
        <v>14</v>
      </c>
      <c r="E99" t="s">
        <v>12</v>
      </c>
      <c r="F99">
        <v>-8.52</v>
      </c>
      <c r="G99">
        <v>0.88759999999999994</v>
      </c>
      <c r="H99">
        <v>5.8769999999999998</v>
      </c>
      <c r="I99">
        <v>5.2164251999999998</v>
      </c>
      <c r="K99" t="str">
        <f>INDEX([1]Sheet1!$A$1:$G$108, MATCH(B99,[1]Sheet1!$B:$B,0), 1)</f>
        <v>"2,4-Hydroxybenzophenone"</v>
      </c>
      <c r="L99" t="str">
        <f>INDEX([1]Sheet1!$A$1:$G$108, MATCH(B99,[1]Sheet1!$B:$B,0), 3)</f>
        <v>weak</v>
      </c>
      <c r="M99" t="s">
        <v>109</v>
      </c>
    </row>
    <row r="100" spans="1:13" x14ac:dyDescent="0.3">
      <c r="A100" t="s">
        <v>38</v>
      </c>
      <c r="B100" t="str">
        <f>_xlfn.TEXTBEFORE(_xlfn.TEXTAFTER(A100,"cas-"),"_")</f>
        <v>131-56-6</v>
      </c>
      <c r="C100" t="s">
        <v>21</v>
      </c>
      <c r="D100" t="s">
        <v>11</v>
      </c>
      <c r="E100" t="s">
        <v>12</v>
      </c>
      <c r="F100">
        <v>-7.76</v>
      </c>
      <c r="G100">
        <v>0.86260000000000003</v>
      </c>
      <c r="H100">
        <v>5.6550000000000002</v>
      </c>
      <c r="I100">
        <v>4.8780030000000014</v>
      </c>
      <c r="K100" t="str">
        <f>INDEX([1]Sheet1!$A$1:$G$108, MATCH(B100,[1]Sheet1!$B:$B,0), 1)</f>
        <v>"2,4-Hydroxybenzophenone"</v>
      </c>
      <c r="L100" t="str">
        <f>INDEX([1]Sheet1!$A$1:$G$108, MATCH(B100,[1]Sheet1!$B:$B,0), 3)</f>
        <v>weak</v>
      </c>
      <c r="M100" t="s">
        <v>109</v>
      </c>
    </row>
    <row r="101" spans="1:13" x14ac:dyDescent="0.3">
      <c r="A101" t="s">
        <v>38</v>
      </c>
      <c r="B101" t="str">
        <f>_xlfn.TEXTBEFORE(_xlfn.TEXTAFTER(A101,"cas-"),"_")</f>
        <v>131-56-6</v>
      </c>
      <c r="C101" t="s">
        <v>26</v>
      </c>
      <c r="D101" t="s">
        <v>14</v>
      </c>
      <c r="E101" t="s">
        <v>12</v>
      </c>
      <c r="F101">
        <v>-8.48</v>
      </c>
      <c r="G101">
        <v>0.88049999999999995</v>
      </c>
      <c r="H101">
        <v>5.9459999999999997</v>
      </c>
      <c r="I101">
        <v>5.2354529999999997</v>
      </c>
      <c r="K101" t="str">
        <f>INDEX([1]Sheet1!$A$1:$G$108, MATCH(B101,[1]Sheet1!$B:$B,0), 1)</f>
        <v>"2,4-Hydroxybenzophenone"</v>
      </c>
      <c r="L101" t="str">
        <f>INDEX([1]Sheet1!$A$1:$G$108, MATCH(B101,[1]Sheet1!$B:$B,0), 3)</f>
        <v>weak</v>
      </c>
      <c r="M101" t="s">
        <v>109</v>
      </c>
    </row>
    <row r="102" spans="1:13" x14ac:dyDescent="0.3">
      <c r="A102" t="s">
        <v>38</v>
      </c>
      <c r="B102" t="str">
        <f>_xlfn.TEXTBEFORE(_xlfn.TEXTAFTER(A102,"cas-"),"_")</f>
        <v>131-56-6</v>
      </c>
      <c r="C102" t="s">
        <v>18</v>
      </c>
      <c r="D102" t="s">
        <v>11</v>
      </c>
      <c r="E102" t="s">
        <v>12</v>
      </c>
      <c r="F102">
        <v>-8</v>
      </c>
      <c r="G102">
        <v>0.84250000000000003</v>
      </c>
      <c r="H102">
        <v>5.4779999999999998</v>
      </c>
      <c r="I102">
        <v>4.6152150000000001</v>
      </c>
      <c r="K102" t="str">
        <f>INDEX([1]Sheet1!$A$1:$G$108, MATCH(B102,[1]Sheet1!$B:$B,0), 1)</f>
        <v>"2,4-Hydroxybenzophenone"</v>
      </c>
      <c r="L102" t="str">
        <f>INDEX([1]Sheet1!$A$1:$G$108, MATCH(B102,[1]Sheet1!$B:$B,0), 3)</f>
        <v>weak</v>
      </c>
      <c r="M102" t="s">
        <v>109</v>
      </c>
    </row>
    <row r="103" spans="1:13" x14ac:dyDescent="0.3">
      <c r="A103" t="s">
        <v>38</v>
      </c>
      <c r="B103" t="str">
        <f>_xlfn.TEXTBEFORE(_xlfn.TEXTAFTER(A103,"cas-"),"_")</f>
        <v>131-56-6</v>
      </c>
      <c r="C103" t="s">
        <v>28</v>
      </c>
      <c r="D103" t="s">
        <v>29</v>
      </c>
      <c r="E103" t="s">
        <v>12</v>
      </c>
      <c r="F103">
        <v>-8.11</v>
      </c>
      <c r="G103">
        <v>0.88029999999999997</v>
      </c>
      <c r="H103">
        <v>5.7539999999999996</v>
      </c>
      <c r="I103">
        <v>5.0652461999999998</v>
      </c>
      <c r="K103" t="str">
        <f>INDEX([1]Sheet1!$A$1:$G$108, MATCH(B103,[1]Sheet1!$B:$B,0), 1)</f>
        <v>"2,4-Hydroxybenzophenone"</v>
      </c>
      <c r="L103" t="str">
        <f>INDEX([1]Sheet1!$A$1:$G$108, MATCH(B103,[1]Sheet1!$B:$B,0), 3)</f>
        <v>weak</v>
      </c>
      <c r="M103" t="s">
        <v>109</v>
      </c>
    </row>
    <row r="104" spans="1:13" x14ac:dyDescent="0.3">
      <c r="A104" t="s">
        <v>38</v>
      </c>
      <c r="B104" t="str">
        <f>_xlfn.TEXTBEFORE(_xlfn.TEXTAFTER(A104,"cas-"),"_")</f>
        <v>131-56-6</v>
      </c>
      <c r="C104" t="s">
        <v>19</v>
      </c>
      <c r="D104" t="s">
        <v>20</v>
      </c>
      <c r="E104" t="s">
        <v>12</v>
      </c>
      <c r="F104">
        <v>-7.45</v>
      </c>
      <c r="G104">
        <v>0.81710000000000005</v>
      </c>
      <c r="H104">
        <v>6.0519999999999996</v>
      </c>
      <c r="I104">
        <v>4.9450892</v>
      </c>
      <c r="K104" t="str">
        <f>INDEX([1]Sheet1!$A$1:$G$108, MATCH(B104,[1]Sheet1!$B:$B,0), 1)</f>
        <v>"2,4-Hydroxybenzophenone"</v>
      </c>
      <c r="L104" t="str">
        <f>INDEX([1]Sheet1!$A$1:$G$108, MATCH(B104,[1]Sheet1!$B:$B,0), 3)</f>
        <v>weak</v>
      </c>
      <c r="M104" t="s">
        <v>109</v>
      </c>
    </row>
    <row r="105" spans="1:13" x14ac:dyDescent="0.3">
      <c r="A105" t="s">
        <v>38</v>
      </c>
      <c r="B105" t="str">
        <f>_xlfn.TEXTBEFORE(_xlfn.TEXTAFTER(A105,"cas-"),"_")</f>
        <v>131-56-6</v>
      </c>
      <c r="C105" t="s">
        <v>10</v>
      </c>
      <c r="D105" t="s">
        <v>11</v>
      </c>
      <c r="E105" t="s">
        <v>12</v>
      </c>
      <c r="F105">
        <v>-8.11</v>
      </c>
      <c r="G105">
        <v>0.87719999999999998</v>
      </c>
      <c r="H105">
        <v>5.8570000000000002</v>
      </c>
      <c r="I105">
        <v>5.1377604000000003</v>
      </c>
      <c r="K105" t="str">
        <f>INDEX([1]Sheet1!$A$1:$G$108, MATCH(B105,[1]Sheet1!$B:$B,0), 1)</f>
        <v>"2,4-Hydroxybenzophenone"</v>
      </c>
      <c r="L105" t="str">
        <f>INDEX([1]Sheet1!$A$1:$G$108, MATCH(B105,[1]Sheet1!$B:$B,0), 3)</f>
        <v>weak</v>
      </c>
      <c r="M105" t="s">
        <v>109</v>
      </c>
    </row>
    <row r="106" spans="1:13" x14ac:dyDescent="0.3">
      <c r="A106" t="s">
        <v>39</v>
      </c>
      <c r="B106" t="str">
        <f>_xlfn.TEXTBEFORE(_xlfn.TEXTAFTER(A106,"cas-"),"_")</f>
        <v>140-66-9</v>
      </c>
      <c r="C106" t="s">
        <v>17</v>
      </c>
      <c r="D106" t="s">
        <v>11</v>
      </c>
      <c r="E106" t="s">
        <v>12</v>
      </c>
      <c r="F106">
        <v>-7.39</v>
      </c>
      <c r="G106">
        <v>0.9506</v>
      </c>
      <c r="H106">
        <v>7.1609999999999996</v>
      </c>
      <c r="I106">
        <v>6.8072466</v>
      </c>
      <c r="K106" t="str">
        <f>INDEX([1]Sheet1!$A$1:$G$108, MATCH(B106,[1]Sheet1!$B:$B,0), 1)</f>
        <v>4-t-Octylphenol</v>
      </c>
      <c r="L106" t="str">
        <f>INDEX([1]Sheet1!$A$1:$G$108, MATCH(B106,[1]Sheet1!$B:$B,0), 3)</f>
        <v>moderate</v>
      </c>
      <c r="M106" t="s">
        <v>109</v>
      </c>
    </row>
    <row r="107" spans="1:13" x14ac:dyDescent="0.3">
      <c r="A107" t="s">
        <v>39</v>
      </c>
      <c r="B107" t="str">
        <f>_xlfn.TEXTBEFORE(_xlfn.TEXTAFTER(A107,"cas-"),"_")</f>
        <v>140-66-9</v>
      </c>
      <c r="C107" t="s">
        <v>24</v>
      </c>
      <c r="D107" t="s">
        <v>25</v>
      </c>
      <c r="E107" t="s">
        <v>12</v>
      </c>
      <c r="F107">
        <v>-6.44</v>
      </c>
      <c r="G107">
        <v>0.88870000000000005</v>
      </c>
      <c r="H107">
        <v>7.056</v>
      </c>
      <c r="I107">
        <v>6.2706672000000001</v>
      </c>
      <c r="K107" t="str">
        <f>INDEX([1]Sheet1!$A$1:$G$108, MATCH(B107,[1]Sheet1!$B:$B,0), 1)</f>
        <v>4-t-Octylphenol</v>
      </c>
      <c r="L107" t="str">
        <f>INDEX([1]Sheet1!$A$1:$G$108, MATCH(B107,[1]Sheet1!$B:$B,0), 3)</f>
        <v>moderate</v>
      </c>
      <c r="M107" t="s">
        <v>109</v>
      </c>
    </row>
    <row r="108" spans="1:13" x14ac:dyDescent="0.3">
      <c r="A108" t="s">
        <v>39</v>
      </c>
      <c r="B108" t="str">
        <f>_xlfn.TEXTBEFORE(_xlfn.TEXTAFTER(A108,"cas-"),"_")</f>
        <v>140-66-9</v>
      </c>
      <c r="C108" t="s">
        <v>27</v>
      </c>
      <c r="D108" t="s">
        <v>11</v>
      </c>
      <c r="E108" t="s">
        <v>12</v>
      </c>
      <c r="F108">
        <v>-7.85</v>
      </c>
      <c r="G108">
        <v>0.93530000000000002</v>
      </c>
      <c r="H108">
        <v>7.3789999999999996</v>
      </c>
      <c r="I108">
        <v>6.9015787</v>
      </c>
      <c r="K108" t="str">
        <f>INDEX([1]Sheet1!$A$1:$G$108, MATCH(B108,[1]Sheet1!$B:$B,0), 1)</f>
        <v>4-t-Octylphenol</v>
      </c>
      <c r="L108" t="str">
        <f>INDEX([1]Sheet1!$A$1:$G$108, MATCH(B108,[1]Sheet1!$B:$B,0), 3)</f>
        <v>moderate</v>
      </c>
      <c r="M108" t="s">
        <v>109</v>
      </c>
    </row>
    <row r="109" spans="1:13" x14ac:dyDescent="0.3">
      <c r="A109" t="s">
        <v>39</v>
      </c>
      <c r="B109" t="str">
        <f>_xlfn.TEXTBEFORE(_xlfn.TEXTAFTER(A109,"cas-"),"_")</f>
        <v>140-66-9</v>
      </c>
      <c r="C109" t="s">
        <v>30</v>
      </c>
      <c r="D109" t="s">
        <v>31</v>
      </c>
      <c r="E109" t="s">
        <v>12</v>
      </c>
      <c r="F109">
        <v>-7.09</v>
      </c>
      <c r="G109">
        <v>0.95209999999999995</v>
      </c>
      <c r="H109">
        <v>7.2910000000000004</v>
      </c>
      <c r="I109">
        <v>6.9417610999999999</v>
      </c>
      <c r="K109" t="str">
        <f>INDEX([1]Sheet1!$A$1:$G$108, MATCH(B109,[1]Sheet1!$B:$B,0), 1)</f>
        <v>4-t-Octylphenol</v>
      </c>
      <c r="L109" t="str">
        <f>INDEX([1]Sheet1!$A$1:$G$108, MATCH(B109,[1]Sheet1!$B:$B,0), 3)</f>
        <v>moderate</v>
      </c>
      <c r="M109" t="s">
        <v>109</v>
      </c>
    </row>
    <row r="110" spans="1:13" x14ac:dyDescent="0.3">
      <c r="A110" t="s">
        <v>39</v>
      </c>
      <c r="B110" t="str">
        <f>_xlfn.TEXTBEFORE(_xlfn.TEXTAFTER(A110,"cas-"),"_")</f>
        <v>140-66-9</v>
      </c>
      <c r="C110" t="s">
        <v>18</v>
      </c>
      <c r="D110" t="s">
        <v>11</v>
      </c>
      <c r="E110" t="s">
        <v>12</v>
      </c>
      <c r="F110">
        <v>-7.76</v>
      </c>
      <c r="G110">
        <v>0.89890000000000003</v>
      </c>
      <c r="H110">
        <v>6.976</v>
      </c>
      <c r="I110">
        <v>6.2707264</v>
      </c>
      <c r="K110" t="str">
        <f>INDEX([1]Sheet1!$A$1:$G$108, MATCH(B110,[1]Sheet1!$B:$B,0), 1)</f>
        <v>4-t-Octylphenol</v>
      </c>
      <c r="L110" t="str">
        <f>INDEX([1]Sheet1!$A$1:$G$108, MATCH(B110,[1]Sheet1!$B:$B,0), 3)</f>
        <v>moderate</v>
      </c>
      <c r="M110" t="s">
        <v>109</v>
      </c>
    </row>
    <row r="111" spans="1:13" x14ac:dyDescent="0.3">
      <c r="A111" t="s">
        <v>39</v>
      </c>
      <c r="B111" t="str">
        <f>_xlfn.TEXTBEFORE(_xlfn.TEXTAFTER(A111,"cas-"),"_")</f>
        <v>140-66-9</v>
      </c>
      <c r="C111" t="s">
        <v>10</v>
      </c>
      <c r="D111" t="s">
        <v>11</v>
      </c>
      <c r="E111" t="s">
        <v>12</v>
      </c>
      <c r="F111">
        <v>-6.95</v>
      </c>
      <c r="G111">
        <v>0.94989999999999997</v>
      </c>
      <c r="H111">
        <v>7.0839999999999996</v>
      </c>
      <c r="I111">
        <v>6.7290915999999994</v>
      </c>
      <c r="K111" t="str">
        <f>INDEX([1]Sheet1!$A$1:$G$108, MATCH(B111,[1]Sheet1!$B:$B,0), 1)</f>
        <v>4-t-Octylphenol</v>
      </c>
      <c r="L111" t="str">
        <f>INDEX([1]Sheet1!$A$1:$G$108, MATCH(B111,[1]Sheet1!$B:$B,0), 3)</f>
        <v>moderate</v>
      </c>
      <c r="M111" t="s">
        <v>109</v>
      </c>
    </row>
    <row r="112" spans="1:13" x14ac:dyDescent="0.3">
      <c r="A112" t="s">
        <v>39</v>
      </c>
      <c r="B112" t="str">
        <f>_xlfn.TEXTBEFORE(_xlfn.TEXTAFTER(A112,"cas-"),"_")</f>
        <v>140-66-9</v>
      </c>
      <c r="C112" t="s">
        <v>28</v>
      </c>
      <c r="D112" t="s">
        <v>29</v>
      </c>
      <c r="E112" t="s">
        <v>12</v>
      </c>
      <c r="F112">
        <v>-7.32</v>
      </c>
      <c r="G112">
        <v>0.94579999999999997</v>
      </c>
      <c r="H112">
        <v>7.0919999999999996</v>
      </c>
      <c r="I112">
        <v>6.7076135999999993</v>
      </c>
      <c r="K112" t="str">
        <f>INDEX([1]Sheet1!$A$1:$G$108, MATCH(B112,[1]Sheet1!$B:$B,0), 1)</f>
        <v>4-t-Octylphenol</v>
      </c>
      <c r="L112" t="str">
        <f>INDEX([1]Sheet1!$A$1:$G$108, MATCH(B112,[1]Sheet1!$B:$B,0), 3)</f>
        <v>moderate</v>
      </c>
      <c r="M112" t="s">
        <v>109</v>
      </c>
    </row>
    <row r="113" spans="1:13" x14ac:dyDescent="0.3">
      <c r="A113" t="s">
        <v>39</v>
      </c>
      <c r="B113" t="str">
        <f>_xlfn.TEXTBEFORE(_xlfn.TEXTAFTER(A113,"cas-"),"_")</f>
        <v>140-66-9</v>
      </c>
      <c r="C113" t="s">
        <v>13</v>
      </c>
      <c r="D113" t="s">
        <v>14</v>
      </c>
      <c r="E113" t="s">
        <v>12</v>
      </c>
      <c r="F113">
        <v>-7.9</v>
      </c>
      <c r="G113">
        <v>0.95340000000000003</v>
      </c>
      <c r="H113">
        <v>7.125</v>
      </c>
      <c r="I113">
        <v>6.7929750000000002</v>
      </c>
      <c r="K113" t="str">
        <f>INDEX([1]Sheet1!$A$1:$G$108, MATCH(B113,[1]Sheet1!$B:$B,0), 1)</f>
        <v>4-t-Octylphenol</v>
      </c>
      <c r="L113" t="str">
        <f>INDEX([1]Sheet1!$A$1:$G$108, MATCH(B113,[1]Sheet1!$B:$B,0), 3)</f>
        <v>moderate</v>
      </c>
      <c r="M113" t="s">
        <v>109</v>
      </c>
    </row>
    <row r="114" spans="1:13" x14ac:dyDescent="0.3">
      <c r="A114" t="s">
        <v>39</v>
      </c>
      <c r="B114" t="str">
        <f>_xlfn.TEXTBEFORE(_xlfn.TEXTAFTER(A114,"cas-"),"_")</f>
        <v>140-66-9</v>
      </c>
      <c r="C114" t="s">
        <v>22</v>
      </c>
      <c r="D114" t="s">
        <v>23</v>
      </c>
      <c r="E114" t="s">
        <v>12</v>
      </c>
      <c r="F114">
        <v>-7.09</v>
      </c>
      <c r="G114">
        <v>0.92420000000000002</v>
      </c>
      <c r="H114">
        <v>6.87</v>
      </c>
      <c r="I114">
        <v>6.3492540000000002</v>
      </c>
      <c r="K114" t="str">
        <f>INDEX([1]Sheet1!$A$1:$G$108, MATCH(B114,[1]Sheet1!$B:$B,0), 1)</f>
        <v>4-t-Octylphenol</v>
      </c>
      <c r="L114" t="str">
        <f>INDEX([1]Sheet1!$A$1:$G$108, MATCH(B114,[1]Sheet1!$B:$B,0), 3)</f>
        <v>moderate</v>
      </c>
      <c r="M114" t="s">
        <v>109</v>
      </c>
    </row>
    <row r="115" spans="1:13" x14ac:dyDescent="0.3">
      <c r="A115" t="s">
        <v>39</v>
      </c>
      <c r="B115" t="str">
        <f>_xlfn.TEXTBEFORE(_xlfn.TEXTAFTER(A115,"cas-"),"_")</f>
        <v>140-66-9</v>
      </c>
      <c r="C115" t="s">
        <v>19</v>
      </c>
      <c r="D115" t="s">
        <v>20</v>
      </c>
      <c r="E115" t="s">
        <v>12</v>
      </c>
      <c r="F115">
        <v>-7.49</v>
      </c>
      <c r="G115">
        <v>0.93520000000000003</v>
      </c>
      <c r="H115">
        <v>6.87</v>
      </c>
      <c r="I115">
        <v>6.4248240000000001</v>
      </c>
      <c r="K115" t="str">
        <f>INDEX([1]Sheet1!$A$1:$G$108, MATCH(B115,[1]Sheet1!$B:$B,0), 1)</f>
        <v>4-t-Octylphenol</v>
      </c>
      <c r="L115" t="str">
        <f>INDEX([1]Sheet1!$A$1:$G$108, MATCH(B115,[1]Sheet1!$B:$B,0), 3)</f>
        <v>moderate</v>
      </c>
      <c r="M115" t="s">
        <v>109</v>
      </c>
    </row>
    <row r="116" spans="1:13" x14ac:dyDescent="0.3">
      <c r="A116" t="s">
        <v>39</v>
      </c>
      <c r="B116" t="str">
        <f>_xlfn.TEXTBEFORE(_xlfn.TEXTAFTER(A116,"cas-"),"_")</f>
        <v>140-66-9</v>
      </c>
      <c r="C116" t="s">
        <v>15</v>
      </c>
      <c r="D116" t="s">
        <v>16</v>
      </c>
      <c r="E116" t="s">
        <v>12</v>
      </c>
      <c r="F116">
        <v>-7.54</v>
      </c>
      <c r="G116">
        <v>0.8972</v>
      </c>
      <c r="H116">
        <v>6.2309999999999999</v>
      </c>
      <c r="I116">
        <v>5.5904531999999998</v>
      </c>
      <c r="K116" t="str">
        <f>INDEX([1]Sheet1!$A$1:$G$108, MATCH(B116,[1]Sheet1!$B:$B,0), 1)</f>
        <v>4-t-Octylphenol</v>
      </c>
      <c r="L116" t="str">
        <f>INDEX([1]Sheet1!$A$1:$G$108, MATCH(B116,[1]Sheet1!$B:$B,0), 3)</f>
        <v>moderate</v>
      </c>
      <c r="M116" t="s">
        <v>109</v>
      </c>
    </row>
    <row r="117" spans="1:13" x14ac:dyDescent="0.3">
      <c r="A117" t="s">
        <v>39</v>
      </c>
      <c r="B117" t="str">
        <f>_xlfn.TEXTBEFORE(_xlfn.TEXTAFTER(A117,"cas-"),"_")</f>
        <v>140-66-9</v>
      </c>
      <c r="C117" t="s">
        <v>21</v>
      </c>
      <c r="D117" t="s">
        <v>11</v>
      </c>
      <c r="E117" t="s">
        <v>12</v>
      </c>
      <c r="F117">
        <v>-7.69</v>
      </c>
      <c r="G117">
        <v>0.90510000000000002</v>
      </c>
      <c r="H117">
        <v>6.827</v>
      </c>
      <c r="I117">
        <v>6.1791176999999999</v>
      </c>
      <c r="K117" t="str">
        <f>INDEX([1]Sheet1!$A$1:$G$108, MATCH(B117,[1]Sheet1!$B:$B,0), 1)</f>
        <v>4-t-Octylphenol</v>
      </c>
      <c r="L117" t="str">
        <f>INDEX([1]Sheet1!$A$1:$G$108, MATCH(B117,[1]Sheet1!$B:$B,0), 3)</f>
        <v>moderate</v>
      </c>
      <c r="M117" t="s">
        <v>109</v>
      </c>
    </row>
    <row r="118" spans="1:13" x14ac:dyDescent="0.3">
      <c r="A118" t="s">
        <v>39</v>
      </c>
      <c r="B118" t="str">
        <f>_xlfn.TEXTBEFORE(_xlfn.TEXTAFTER(A118,"cas-"),"_")</f>
        <v>140-66-9</v>
      </c>
      <c r="C118" t="s">
        <v>26</v>
      </c>
      <c r="D118" t="s">
        <v>14</v>
      </c>
      <c r="E118" t="s">
        <v>12</v>
      </c>
      <c r="F118">
        <v>-7.65</v>
      </c>
      <c r="G118">
        <v>0.95440000000000003</v>
      </c>
      <c r="H118">
        <v>7.2560000000000002</v>
      </c>
      <c r="I118">
        <v>6.9251264000000008</v>
      </c>
      <c r="K118" t="str">
        <f>INDEX([1]Sheet1!$A$1:$G$108, MATCH(B118,[1]Sheet1!$B:$B,0), 1)</f>
        <v>4-t-Octylphenol</v>
      </c>
      <c r="L118" t="str">
        <f>INDEX([1]Sheet1!$A$1:$G$108, MATCH(B118,[1]Sheet1!$B:$B,0), 3)</f>
        <v>moderate</v>
      </c>
      <c r="M118" t="s">
        <v>109</v>
      </c>
    </row>
    <row r="119" spans="1:13" x14ac:dyDescent="0.3">
      <c r="A119" t="s">
        <v>40</v>
      </c>
      <c r="B119" t="str">
        <f>_xlfn.TEXTBEFORE(_xlfn.TEXTAFTER(A119,"cas-"),"_")</f>
        <v>143-50-0</v>
      </c>
      <c r="C119" t="s">
        <v>22</v>
      </c>
      <c r="D119" t="s">
        <v>23</v>
      </c>
      <c r="E119" t="s">
        <v>12</v>
      </c>
      <c r="F119">
        <v>-4.55</v>
      </c>
      <c r="G119">
        <v>0.51490000000000002</v>
      </c>
      <c r="H119">
        <v>8.2439999999999998</v>
      </c>
      <c r="I119">
        <v>4.2448356</v>
      </c>
      <c r="K119" t="str">
        <f>INDEX([1]Sheet1!$A$1:$G$108, MATCH(B119,[1]Sheet1!$B:$B,0), 1)</f>
        <v>Kepone</v>
      </c>
      <c r="L119" t="str">
        <f>INDEX([1]Sheet1!$A$1:$G$108, MATCH(B119,[1]Sheet1!$B:$B,0), 3)</f>
        <v>moderate</v>
      </c>
      <c r="M119" t="s">
        <v>109</v>
      </c>
    </row>
    <row r="120" spans="1:13" x14ac:dyDescent="0.3">
      <c r="A120" t="s">
        <v>40</v>
      </c>
      <c r="B120" t="str">
        <f>_xlfn.TEXTBEFORE(_xlfn.TEXTAFTER(A120,"cas-"),"_")</f>
        <v>143-50-0</v>
      </c>
      <c r="C120" t="s">
        <v>26</v>
      </c>
      <c r="D120" t="s">
        <v>14</v>
      </c>
      <c r="E120" t="s">
        <v>12</v>
      </c>
      <c r="F120">
        <v>-5.15</v>
      </c>
      <c r="G120">
        <v>0.43569999999999998</v>
      </c>
      <c r="H120">
        <v>8.0660000000000007</v>
      </c>
      <c r="I120">
        <v>3.5143561999999999</v>
      </c>
      <c r="K120" t="str">
        <f>INDEX([1]Sheet1!$A$1:$G$108, MATCH(B120,[1]Sheet1!$B:$B,0), 1)</f>
        <v>Kepone</v>
      </c>
      <c r="L120" t="str">
        <f>INDEX([1]Sheet1!$A$1:$G$108, MATCH(B120,[1]Sheet1!$B:$B,0), 3)</f>
        <v>moderate</v>
      </c>
      <c r="M120" t="s">
        <v>109</v>
      </c>
    </row>
    <row r="121" spans="1:13" x14ac:dyDescent="0.3">
      <c r="A121" t="s">
        <v>40</v>
      </c>
      <c r="B121" t="str">
        <f>_xlfn.TEXTBEFORE(_xlfn.TEXTAFTER(A121,"cas-"),"_")</f>
        <v>143-50-0</v>
      </c>
      <c r="C121" t="s">
        <v>13</v>
      </c>
      <c r="D121" t="s">
        <v>14</v>
      </c>
      <c r="E121" t="s">
        <v>12</v>
      </c>
      <c r="F121">
        <v>-5.26</v>
      </c>
      <c r="G121">
        <v>0.52769999999999995</v>
      </c>
      <c r="H121">
        <v>8.2270000000000003</v>
      </c>
      <c r="I121">
        <v>4.3413879</v>
      </c>
      <c r="K121" t="str">
        <f>INDEX([1]Sheet1!$A$1:$G$108, MATCH(B121,[1]Sheet1!$B:$B,0), 1)</f>
        <v>Kepone</v>
      </c>
      <c r="L121" t="str">
        <f>INDEX([1]Sheet1!$A$1:$G$108, MATCH(B121,[1]Sheet1!$B:$B,0), 3)</f>
        <v>moderate</v>
      </c>
      <c r="M121" t="s">
        <v>109</v>
      </c>
    </row>
    <row r="122" spans="1:13" x14ac:dyDescent="0.3">
      <c r="A122" t="s">
        <v>40</v>
      </c>
      <c r="B122" t="str">
        <f>_xlfn.TEXTBEFORE(_xlfn.TEXTAFTER(A122,"cas-"),"_")</f>
        <v>143-50-0</v>
      </c>
      <c r="C122" t="s">
        <v>17</v>
      </c>
      <c r="D122" t="s">
        <v>11</v>
      </c>
      <c r="E122" t="s">
        <v>12</v>
      </c>
      <c r="F122">
        <v>-5.77</v>
      </c>
      <c r="G122">
        <v>0.62370000000000003</v>
      </c>
      <c r="H122">
        <v>8.3409999999999993</v>
      </c>
      <c r="I122">
        <v>5.2022816999999986</v>
      </c>
      <c r="K122" t="str">
        <f>INDEX([1]Sheet1!$A$1:$G$108, MATCH(B122,[1]Sheet1!$B:$B,0), 1)</f>
        <v>Kepone</v>
      </c>
      <c r="L122" t="str">
        <f>INDEX([1]Sheet1!$A$1:$G$108, MATCH(B122,[1]Sheet1!$B:$B,0), 3)</f>
        <v>moderate</v>
      </c>
      <c r="M122" t="s">
        <v>109</v>
      </c>
    </row>
    <row r="123" spans="1:13" x14ac:dyDescent="0.3">
      <c r="A123" t="s">
        <v>40</v>
      </c>
      <c r="B123" t="str">
        <f>_xlfn.TEXTBEFORE(_xlfn.TEXTAFTER(A123,"cas-"),"_")</f>
        <v>143-50-0</v>
      </c>
      <c r="C123" t="s">
        <v>15</v>
      </c>
      <c r="D123" t="s">
        <v>16</v>
      </c>
      <c r="E123" t="s">
        <v>12</v>
      </c>
      <c r="F123">
        <v>-5.93</v>
      </c>
      <c r="G123">
        <v>0.71550000000000002</v>
      </c>
      <c r="H123">
        <v>8.4879999999999995</v>
      </c>
      <c r="I123">
        <v>6.0731640000000002</v>
      </c>
      <c r="K123" t="str">
        <f>INDEX([1]Sheet1!$A$1:$G$108, MATCH(B123,[1]Sheet1!$B:$B,0), 1)</f>
        <v>Kepone</v>
      </c>
      <c r="L123" t="str">
        <f>INDEX([1]Sheet1!$A$1:$G$108, MATCH(B123,[1]Sheet1!$B:$B,0), 3)</f>
        <v>moderate</v>
      </c>
      <c r="M123" t="s">
        <v>109</v>
      </c>
    </row>
    <row r="124" spans="1:13" x14ac:dyDescent="0.3">
      <c r="A124" t="s">
        <v>40</v>
      </c>
      <c r="B124" t="str">
        <f>_xlfn.TEXTBEFORE(_xlfn.TEXTAFTER(A124,"cas-"),"_")</f>
        <v>143-50-0</v>
      </c>
      <c r="C124" t="s">
        <v>24</v>
      </c>
      <c r="D124" t="s">
        <v>25</v>
      </c>
      <c r="E124" t="s">
        <v>12</v>
      </c>
      <c r="F124">
        <v>-6.79</v>
      </c>
      <c r="G124">
        <v>0.66100000000000003</v>
      </c>
      <c r="H124">
        <v>8.4760000000000009</v>
      </c>
      <c r="I124">
        <v>5.6026360000000013</v>
      </c>
      <c r="K124" t="str">
        <f>INDEX([1]Sheet1!$A$1:$G$108, MATCH(B124,[1]Sheet1!$B:$B,0), 1)</f>
        <v>Kepone</v>
      </c>
      <c r="L124" t="str">
        <f>INDEX([1]Sheet1!$A$1:$G$108, MATCH(B124,[1]Sheet1!$B:$B,0), 3)</f>
        <v>moderate</v>
      </c>
      <c r="M124" t="s">
        <v>109</v>
      </c>
    </row>
    <row r="125" spans="1:13" x14ac:dyDescent="0.3">
      <c r="A125" t="s">
        <v>40</v>
      </c>
      <c r="B125" t="str">
        <f>_xlfn.TEXTBEFORE(_xlfn.TEXTAFTER(A125,"cas-"),"_")</f>
        <v>143-50-0</v>
      </c>
      <c r="C125" t="s">
        <v>21</v>
      </c>
      <c r="D125" t="s">
        <v>11</v>
      </c>
      <c r="E125" t="s">
        <v>12</v>
      </c>
      <c r="F125">
        <v>-4.47</v>
      </c>
      <c r="G125">
        <v>0.60419999999999996</v>
      </c>
      <c r="H125">
        <v>8.3420000000000005</v>
      </c>
      <c r="I125">
        <v>5.0402364000000004</v>
      </c>
      <c r="K125" t="str">
        <f>INDEX([1]Sheet1!$A$1:$G$108, MATCH(B125,[1]Sheet1!$B:$B,0), 1)</f>
        <v>Kepone</v>
      </c>
      <c r="L125" t="str">
        <f>INDEX([1]Sheet1!$A$1:$G$108, MATCH(B125,[1]Sheet1!$B:$B,0), 3)</f>
        <v>moderate</v>
      </c>
      <c r="M125" t="s">
        <v>109</v>
      </c>
    </row>
    <row r="126" spans="1:13" x14ac:dyDescent="0.3">
      <c r="A126" t="s">
        <v>40</v>
      </c>
      <c r="B126" t="str">
        <f>_xlfn.TEXTBEFORE(_xlfn.TEXTAFTER(A126,"cas-"),"_")</f>
        <v>143-50-0</v>
      </c>
      <c r="C126" t="s">
        <v>18</v>
      </c>
      <c r="D126" t="s">
        <v>11</v>
      </c>
      <c r="E126" t="s">
        <v>12</v>
      </c>
      <c r="F126">
        <v>-5.91</v>
      </c>
      <c r="G126">
        <v>0.63629999999999998</v>
      </c>
      <c r="H126">
        <v>8.2810000000000006</v>
      </c>
      <c r="I126">
        <v>5.2692003000000014</v>
      </c>
      <c r="K126" t="str">
        <f>INDEX([1]Sheet1!$A$1:$G$108, MATCH(B126,[1]Sheet1!$B:$B,0), 1)</f>
        <v>Kepone</v>
      </c>
      <c r="L126" t="str">
        <f>INDEX([1]Sheet1!$A$1:$G$108, MATCH(B126,[1]Sheet1!$B:$B,0), 3)</f>
        <v>moderate</v>
      </c>
      <c r="M126" t="s">
        <v>109</v>
      </c>
    </row>
    <row r="127" spans="1:13" x14ac:dyDescent="0.3">
      <c r="A127" t="s">
        <v>40</v>
      </c>
      <c r="B127" t="str">
        <f>_xlfn.TEXTBEFORE(_xlfn.TEXTAFTER(A127,"cas-"),"_")</f>
        <v>143-50-0</v>
      </c>
      <c r="C127" t="s">
        <v>28</v>
      </c>
      <c r="D127" t="s">
        <v>29</v>
      </c>
      <c r="E127" t="s">
        <v>12</v>
      </c>
      <c r="F127">
        <v>-6.57</v>
      </c>
      <c r="G127">
        <v>0.65759999999999996</v>
      </c>
      <c r="H127">
        <v>8.3859999999999992</v>
      </c>
      <c r="I127">
        <v>5.5146335999999989</v>
      </c>
      <c r="K127" t="str">
        <f>INDEX([1]Sheet1!$A$1:$G$108, MATCH(B127,[1]Sheet1!$B:$B,0), 1)</f>
        <v>Kepone</v>
      </c>
      <c r="L127" t="str">
        <f>INDEX([1]Sheet1!$A$1:$G$108, MATCH(B127,[1]Sheet1!$B:$B,0), 3)</f>
        <v>moderate</v>
      </c>
      <c r="M127" t="s">
        <v>109</v>
      </c>
    </row>
    <row r="128" spans="1:13" x14ac:dyDescent="0.3">
      <c r="A128" t="s">
        <v>40</v>
      </c>
      <c r="B128" t="str">
        <f>_xlfn.TEXTBEFORE(_xlfn.TEXTAFTER(A128,"cas-"),"_")</f>
        <v>143-50-0</v>
      </c>
      <c r="C128" t="s">
        <v>19</v>
      </c>
      <c r="D128" t="s">
        <v>20</v>
      </c>
      <c r="E128" t="s">
        <v>12</v>
      </c>
      <c r="F128">
        <v>-5.77</v>
      </c>
      <c r="G128">
        <v>0.64100000000000001</v>
      </c>
      <c r="H128">
        <v>8.2949999999999999</v>
      </c>
      <c r="I128">
        <v>5.3170950000000001</v>
      </c>
      <c r="K128" t="str">
        <f>INDEX([1]Sheet1!$A$1:$G$108, MATCH(B128,[1]Sheet1!$B:$B,0), 1)</f>
        <v>Kepone</v>
      </c>
      <c r="L128" t="str">
        <f>INDEX([1]Sheet1!$A$1:$G$108, MATCH(B128,[1]Sheet1!$B:$B,0), 3)</f>
        <v>moderate</v>
      </c>
      <c r="M128" t="s">
        <v>109</v>
      </c>
    </row>
    <row r="129" spans="1:13" x14ac:dyDescent="0.3">
      <c r="A129" t="s">
        <v>40</v>
      </c>
      <c r="B129" t="str">
        <f>_xlfn.TEXTBEFORE(_xlfn.TEXTAFTER(A129,"cas-"),"_")</f>
        <v>143-50-0</v>
      </c>
      <c r="C129" t="s">
        <v>30</v>
      </c>
      <c r="D129" t="s">
        <v>31</v>
      </c>
      <c r="E129" t="s">
        <v>12</v>
      </c>
      <c r="F129">
        <v>-5.73</v>
      </c>
      <c r="G129">
        <v>0.55789999999999995</v>
      </c>
      <c r="H129">
        <v>8.3230000000000004</v>
      </c>
      <c r="I129">
        <v>4.6434017000000001</v>
      </c>
      <c r="K129" t="str">
        <f>INDEX([1]Sheet1!$A$1:$G$108, MATCH(B129,[1]Sheet1!$B:$B,0), 1)</f>
        <v>Kepone</v>
      </c>
      <c r="L129" t="str">
        <f>INDEX([1]Sheet1!$A$1:$G$108, MATCH(B129,[1]Sheet1!$B:$B,0), 3)</f>
        <v>moderate</v>
      </c>
      <c r="M129" t="s">
        <v>109</v>
      </c>
    </row>
    <row r="130" spans="1:13" x14ac:dyDescent="0.3">
      <c r="A130" t="s">
        <v>40</v>
      </c>
      <c r="B130" t="str">
        <f>_xlfn.TEXTBEFORE(_xlfn.TEXTAFTER(A130,"cas-"),"_")</f>
        <v>143-50-0</v>
      </c>
      <c r="C130" t="s">
        <v>10</v>
      </c>
      <c r="D130" t="s">
        <v>11</v>
      </c>
      <c r="E130" t="s">
        <v>12</v>
      </c>
      <c r="F130">
        <v>-6.53</v>
      </c>
      <c r="G130">
        <v>0.67110000000000003</v>
      </c>
      <c r="H130">
        <v>8.4730000000000008</v>
      </c>
      <c r="I130">
        <v>5.686230300000001</v>
      </c>
      <c r="K130" t="str">
        <f>INDEX([1]Sheet1!$A$1:$G$108, MATCH(B130,[1]Sheet1!$B:$B,0), 1)</f>
        <v>Kepone</v>
      </c>
      <c r="L130" t="str">
        <f>INDEX([1]Sheet1!$A$1:$G$108, MATCH(B130,[1]Sheet1!$B:$B,0), 3)</f>
        <v>moderate</v>
      </c>
      <c r="M130" t="s">
        <v>109</v>
      </c>
    </row>
    <row r="131" spans="1:13" x14ac:dyDescent="0.3">
      <c r="A131" t="s">
        <v>40</v>
      </c>
      <c r="B131" t="str">
        <f>_xlfn.TEXTBEFORE(_xlfn.TEXTAFTER(A131,"cas-"),"_")</f>
        <v>143-50-0</v>
      </c>
      <c r="C131" t="s">
        <v>27</v>
      </c>
      <c r="D131" t="s">
        <v>11</v>
      </c>
      <c r="E131" t="s">
        <v>12</v>
      </c>
      <c r="F131">
        <v>-6.84</v>
      </c>
      <c r="G131">
        <v>0.7218</v>
      </c>
      <c r="H131">
        <v>8.3629999999999995</v>
      </c>
      <c r="I131">
        <v>6.0364133999999998</v>
      </c>
      <c r="K131" t="str">
        <f>INDEX([1]Sheet1!$A$1:$G$108, MATCH(B131,[1]Sheet1!$B:$B,0), 1)</f>
        <v>Kepone</v>
      </c>
      <c r="L131" t="str">
        <f>INDEX([1]Sheet1!$A$1:$G$108, MATCH(B131,[1]Sheet1!$B:$B,0), 3)</f>
        <v>moderate</v>
      </c>
      <c r="M131" t="s">
        <v>109</v>
      </c>
    </row>
    <row r="132" spans="1:13" x14ac:dyDescent="0.3">
      <c r="A132" t="s">
        <v>41</v>
      </c>
      <c r="B132" t="str">
        <f>_xlfn.TEXTBEFORE(_xlfn.TEXTAFTER(A132,"cas-"),"_")</f>
        <v>143-74-8</v>
      </c>
      <c r="C132" t="s">
        <v>21</v>
      </c>
      <c r="D132" t="s">
        <v>11</v>
      </c>
      <c r="E132" t="s">
        <v>12</v>
      </c>
      <c r="F132">
        <v>-8.74</v>
      </c>
      <c r="G132">
        <v>0.84099999999999997</v>
      </c>
      <c r="H132">
        <v>6.9470000000000001</v>
      </c>
      <c r="I132">
        <v>5.8424269999999998</v>
      </c>
      <c r="K132" t="str">
        <f>INDEX([1]Sheet1!$A$1:$G$108, MATCH(B132,[1]Sheet1!$B:$B,0), 1)</f>
        <v>Phenol red</v>
      </c>
      <c r="L132" t="str">
        <f>INDEX([1]Sheet1!$A$1:$G$108, MATCH(B132,[1]Sheet1!$B:$B,0), 3)</f>
        <v>weak</v>
      </c>
      <c r="M132" t="s">
        <v>109</v>
      </c>
    </row>
    <row r="133" spans="1:13" x14ac:dyDescent="0.3">
      <c r="A133" t="s">
        <v>41</v>
      </c>
      <c r="B133" t="str">
        <f>_xlfn.TEXTBEFORE(_xlfn.TEXTAFTER(A133,"cas-"),"_")</f>
        <v>143-74-8</v>
      </c>
      <c r="C133" t="s">
        <v>13</v>
      </c>
      <c r="D133" t="s">
        <v>14</v>
      </c>
      <c r="E133" t="s">
        <v>12</v>
      </c>
      <c r="F133">
        <v>-2.89</v>
      </c>
      <c r="G133">
        <v>0.64780000000000004</v>
      </c>
      <c r="H133">
        <v>6.7709999999999999</v>
      </c>
      <c r="I133">
        <v>4.3862538000000004</v>
      </c>
      <c r="K133" t="str">
        <f>INDEX([1]Sheet1!$A$1:$G$108, MATCH(B133,[1]Sheet1!$B:$B,0), 1)</f>
        <v>Phenol red</v>
      </c>
      <c r="L133" t="str">
        <f>INDEX([1]Sheet1!$A$1:$G$108, MATCH(B133,[1]Sheet1!$B:$B,0), 3)</f>
        <v>weak</v>
      </c>
      <c r="M133" t="s">
        <v>109</v>
      </c>
    </row>
    <row r="134" spans="1:13" x14ac:dyDescent="0.3">
      <c r="A134" t="s">
        <v>41</v>
      </c>
      <c r="B134" t="str">
        <f>_xlfn.TEXTBEFORE(_xlfn.TEXTAFTER(A134,"cas-"),"_")</f>
        <v>143-74-8</v>
      </c>
      <c r="C134" t="s">
        <v>26</v>
      </c>
      <c r="D134" t="s">
        <v>14</v>
      </c>
      <c r="E134" t="s">
        <v>12</v>
      </c>
      <c r="F134">
        <v>-1.44</v>
      </c>
      <c r="G134">
        <v>0.57720000000000005</v>
      </c>
      <c r="H134">
        <v>6.7679999999999998</v>
      </c>
      <c r="I134">
        <v>3.9064896</v>
      </c>
      <c r="K134" t="str">
        <f>INDEX([1]Sheet1!$A$1:$G$108, MATCH(B134,[1]Sheet1!$B:$B,0), 1)</f>
        <v>Phenol red</v>
      </c>
      <c r="L134" t="str">
        <f>INDEX([1]Sheet1!$A$1:$G$108, MATCH(B134,[1]Sheet1!$B:$B,0), 3)</f>
        <v>weak</v>
      </c>
      <c r="M134" t="s">
        <v>109</v>
      </c>
    </row>
    <row r="135" spans="1:13" x14ac:dyDescent="0.3">
      <c r="A135" t="s">
        <v>41</v>
      </c>
      <c r="B135" t="str">
        <f>_xlfn.TEXTBEFORE(_xlfn.TEXTAFTER(A135,"cas-"),"_")</f>
        <v>143-74-8</v>
      </c>
      <c r="C135" t="s">
        <v>10</v>
      </c>
      <c r="D135" t="s">
        <v>11</v>
      </c>
      <c r="E135" t="s">
        <v>12</v>
      </c>
      <c r="F135">
        <v>-6.12</v>
      </c>
      <c r="G135">
        <v>0.75019999999999998</v>
      </c>
      <c r="H135">
        <v>6.9109999999999996</v>
      </c>
      <c r="I135">
        <v>5.1846321999999994</v>
      </c>
      <c r="K135" t="str">
        <f>INDEX([1]Sheet1!$A$1:$G$108, MATCH(B135,[1]Sheet1!$B:$B,0), 1)</f>
        <v>Phenol red</v>
      </c>
      <c r="L135" t="str">
        <f>INDEX([1]Sheet1!$A$1:$G$108, MATCH(B135,[1]Sheet1!$B:$B,0), 3)</f>
        <v>weak</v>
      </c>
      <c r="M135" t="s">
        <v>109</v>
      </c>
    </row>
    <row r="136" spans="1:13" x14ac:dyDescent="0.3">
      <c r="A136" t="s">
        <v>41</v>
      </c>
      <c r="B136" t="str">
        <f>_xlfn.TEXTBEFORE(_xlfn.TEXTAFTER(A136,"cas-"),"_")</f>
        <v>143-74-8</v>
      </c>
      <c r="C136" t="s">
        <v>30</v>
      </c>
      <c r="D136" t="s">
        <v>31</v>
      </c>
      <c r="E136" t="s">
        <v>12</v>
      </c>
      <c r="F136">
        <v>-7.54</v>
      </c>
      <c r="G136">
        <v>0.74099999999999999</v>
      </c>
      <c r="H136">
        <v>6.8959999999999999</v>
      </c>
      <c r="I136">
        <v>5.1099360000000003</v>
      </c>
      <c r="K136" t="str">
        <f>INDEX([1]Sheet1!$A$1:$G$108, MATCH(B136,[1]Sheet1!$B:$B,0), 1)</f>
        <v>Phenol red</v>
      </c>
      <c r="L136" t="str">
        <f>INDEX([1]Sheet1!$A$1:$G$108, MATCH(B136,[1]Sheet1!$B:$B,0), 3)</f>
        <v>weak</v>
      </c>
      <c r="M136" t="s">
        <v>109</v>
      </c>
    </row>
    <row r="137" spans="1:13" x14ac:dyDescent="0.3">
      <c r="A137" t="s">
        <v>41</v>
      </c>
      <c r="B137" t="str">
        <f>_xlfn.TEXTBEFORE(_xlfn.TEXTAFTER(A137,"cas-"),"_")</f>
        <v>143-74-8</v>
      </c>
      <c r="C137" t="s">
        <v>28</v>
      </c>
      <c r="D137" t="s">
        <v>29</v>
      </c>
      <c r="E137" t="s">
        <v>12</v>
      </c>
      <c r="F137">
        <v>-7.55</v>
      </c>
      <c r="G137">
        <v>0.74260000000000004</v>
      </c>
      <c r="H137">
        <v>6.9169999999999998</v>
      </c>
      <c r="I137">
        <v>5.1365641999999996</v>
      </c>
      <c r="K137" t="str">
        <f>INDEX([1]Sheet1!$A$1:$G$108, MATCH(B137,[1]Sheet1!$B:$B,0), 1)</f>
        <v>Phenol red</v>
      </c>
      <c r="L137" t="str">
        <f>INDEX([1]Sheet1!$A$1:$G$108, MATCH(B137,[1]Sheet1!$B:$B,0), 3)</f>
        <v>weak</v>
      </c>
      <c r="M137" t="s">
        <v>109</v>
      </c>
    </row>
    <row r="138" spans="1:13" x14ac:dyDescent="0.3">
      <c r="A138" t="s">
        <v>41</v>
      </c>
      <c r="B138" t="str">
        <f>_xlfn.TEXTBEFORE(_xlfn.TEXTAFTER(A138,"cas-"),"_")</f>
        <v>143-74-8</v>
      </c>
      <c r="C138" t="s">
        <v>22</v>
      </c>
      <c r="D138" t="s">
        <v>23</v>
      </c>
      <c r="E138" t="s">
        <v>12</v>
      </c>
      <c r="F138">
        <v>-5.98</v>
      </c>
      <c r="G138">
        <v>0.72919999999999996</v>
      </c>
      <c r="H138">
        <v>6.7859999999999996</v>
      </c>
      <c r="I138">
        <v>4.9483511999999994</v>
      </c>
      <c r="K138" t="str">
        <f>INDEX([1]Sheet1!$A$1:$G$108, MATCH(B138,[1]Sheet1!$B:$B,0), 1)</f>
        <v>Phenol red</v>
      </c>
      <c r="L138" t="str">
        <f>INDEX([1]Sheet1!$A$1:$G$108, MATCH(B138,[1]Sheet1!$B:$B,0), 3)</f>
        <v>weak</v>
      </c>
      <c r="M138" t="s">
        <v>109</v>
      </c>
    </row>
    <row r="139" spans="1:13" x14ac:dyDescent="0.3">
      <c r="A139" t="s">
        <v>41</v>
      </c>
      <c r="B139" t="str">
        <f>_xlfn.TEXTBEFORE(_xlfn.TEXTAFTER(A139,"cas-"),"_")</f>
        <v>143-74-8</v>
      </c>
      <c r="C139" t="s">
        <v>27</v>
      </c>
      <c r="D139" t="s">
        <v>11</v>
      </c>
      <c r="E139" t="s">
        <v>12</v>
      </c>
      <c r="F139">
        <v>-8.82</v>
      </c>
      <c r="G139">
        <v>0.59389999999999998</v>
      </c>
      <c r="H139">
        <v>7.117</v>
      </c>
      <c r="I139">
        <v>4.2267862999999997</v>
      </c>
      <c r="K139" t="str">
        <f>INDEX([1]Sheet1!$A$1:$G$108, MATCH(B139,[1]Sheet1!$B:$B,0), 1)</f>
        <v>Phenol red</v>
      </c>
      <c r="L139" t="str">
        <f>INDEX([1]Sheet1!$A$1:$G$108, MATCH(B139,[1]Sheet1!$B:$B,0), 3)</f>
        <v>weak</v>
      </c>
      <c r="M139" t="s">
        <v>109</v>
      </c>
    </row>
    <row r="140" spans="1:13" x14ac:dyDescent="0.3">
      <c r="A140" t="s">
        <v>41</v>
      </c>
      <c r="B140" t="str">
        <f>_xlfn.TEXTBEFORE(_xlfn.TEXTAFTER(A140,"cas-"),"_")</f>
        <v>143-74-8</v>
      </c>
      <c r="C140" t="s">
        <v>24</v>
      </c>
      <c r="D140" t="s">
        <v>25</v>
      </c>
      <c r="E140" t="s">
        <v>12</v>
      </c>
      <c r="F140">
        <v>-6.87</v>
      </c>
      <c r="G140">
        <v>0.66830000000000001</v>
      </c>
      <c r="H140">
        <v>6.7670000000000003</v>
      </c>
      <c r="I140">
        <v>4.5223861000000003</v>
      </c>
      <c r="K140" t="str">
        <f>INDEX([1]Sheet1!$A$1:$G$108, MATCH(B140,[1]Sheet1!$B:$B,0), 1)</f>
        <v>Phenol red</v>
      </c>
      <c r="L140" t="str">
        <f>INDEX([1]Sheet1!$A$1:$G$108, MATCH(B140,[1]Sheet1!$B:$B,0), 3)</f>
        <v>weak</v>
      </c>
      <c r="M140" t="s">
        <v>109</v>
      </c>
    </row>
    <row r="141" spans="1:13" x14ac:dyDescent="0.3">
      <c r="A141" t="s">
        <v>41</v>
      </c>
      <c r="B141" t="str">
        <f>_xlfn.TEXTBEFORE(_xlfn.TEXTAFTER(A141,"cas-"),"_")</f>
        <v>143-74-8</v>
      </c>
      <c r="C141" t="s">
        <v>17</v>
      </c>
      <c r="D141" t="s">
        <v>11</v>
      </c>
      <c r="E141" t="s">
        <v>12</v>
      </c>
      <c r="F141">
        <v>-7.77</v>
      </c>
      <c r="G141">
        <v>0.68159999999999998</v>
      </c>
      <c r="H141">
        <v>7.1360000000000001</v>
      </c>
      <c r="I141">
        <v>4.8638975999999996</v>
      </c>
      <c r="K141" t="str">
        <f>INDEX([1]Sheet1!$A$1:$G$108, MATCH(B141,[1]Sheet1!$B:$B,0), 1)</f>
        <v>Phenol red</v>
      </c>
      <c r="L141" t="str">
        <f>INDEX([1]Sheet1!$A$1:$G$108, MATCH(B141,[1]Sheet1!$B:$B,0), 3)</f>
        <v>weak</v>
      </c>
      <c r="M141" t="s">
        <v>109</v>
      </c>
    </row>
    <row r="142" spans="1:13" x14ac:dyDescent="0.3">
      <c r="A142" t="s">
        <v>41</v>
      </c>
      <c r="B142" t="str">
        <f>_xlfn.TEXTBEFORE(_xlfn.TEXTAFTER(A142,"cas-"),"_")</f>
        <v>143-74-8</v>
      </c>
      <c r="C142" t="s">
        <v>19</v>
      </c>
      <c r="D142" t="s">
        <v>20</v>
      </c>
      <c r="E142" t="s">
        <v>12</v>
      </c>
      <c r="F142">
        <v>-4.3600000000000003</v>
      </c>
      <c r="G142">
        <v>0.65490000000000004</v>
      </c>
      <c r="H142">
        <v>6.4320000000000004</v>
      </c>
      <c r="I142">
        <v>4.2123168000000009</v>
      </c>
      <c r="K142" t="str">
        <f>INDEX([1]Sheet1!$A$1:$G$108, MATCH(B142,[1]Sheet1!$B:$B,0), 1)</f>
        <v>Phenol red</v>
      </c>
      <c r="L142" t="str">
        <f>INDEX([1]Sheet1!$A$1:$G$108, MATCH(B142,[1]Sheet1!$B:$B,0), 3)</f>
        <v>weak</v>
      </c>
      <c r="M142" t="s">
        <v>109</v>
      </c>
    </row>
    <row r="143" spans="1:13" x14ac:dyDescent="0.3">
      <c r="A143" t="s">
        <v>41</v>
      </c>
      <c r="B143" t="str">
        <f>_xlfn.TEXTBEFORE(_xlfn.TEXTAFTER(A143,"cas-"),"_")</f>
        <v>143-74-8</v>
      </c>
      <c r="C143" t="s">
        <v>18</v>
      </c>
      <c r="D143" t="s">
        <v>11</v>
      </c>
      <c r="E143" t="s">
        <v>12</v>
      </c>
      <c r="F143">
        <v>-7.59</v>
      </c>
      <c r="G143">
        <v>0.70850000000000002</v>
      </c>
      <c r="H143">
        <v>6.9130000000000003</v>
      </c>
      <c r="I143">
        <v>4.8978605000000002</v>
      </c>
      <c r="K143" t="str">
        <f>INDEX([1]Sheet1!$A$1:$G$108, MATCH(B143,[1]Sheet1!$B:$B,0), 1)</f>
        <v>Phenol red</v>
      </c>
      <c r="L143" t="str">
        <f>INDEX([1]Sheet1!$A$1:$G$108, MATCH(B143,[1]Sheet1!$B:$B,0), 3)</f>
        <v>weak</v>
      </c>
      <c r="M143" t="s">
        <v>109</v>
      </c>
    </row>
    <row r="144" spans="1:13" x14ac:dyDescent="0.3">
      <c r="A144" t="s">
        <v>41</v>
      </c>
      <c r="B144" t="str">
        <f>_xlfn.TEXTBEFORE(_xlfn.TEXTAFTER(A144,"cas-"),"_")</f>
        <v>143-74-8</v>
      </c>
      <c r="C144" t="s">
        <v>15</v>
      </c>
      <c r="D144" t="s">
        <v>16</v>
      </c>
      <c r="E144" t="s">
        <v>12</v>
      </c>
      <c r="F144">
        <v>-7.37</v>
      </c>
      <c r="G144">
        <v>0.68620000000000003</v>
      </c>
      <c r="H144">
        <v>6.69</v>
      </c>
      <c r="I144">
        <v>4.5906779999999996</v>
      </c>
      <c r="K144" t="str">
        <f>INDEX([1]Sheet1!$A$1:$G$108, MATCH(B144,[1]Sheet1!$B:$B,0), 1)</f>
        <v>Phenol red</v>
      </c>
      <c r="L144" t="str">
        <f>INDEX([1]Sheet1!$A$1:$G$108, MATCH(B144,[1]Sheet1!$B:$B,0), 3)</f>
        <v>weak</v>
      </c>
      <c r="M144" t="s">
        <v>109</v>
      </c>
    </row>
    <row r="145" spans="1:13" x14ac:dyDescent="0.3">
      <c r="A145" t="s">
        <v>42</v>
      </c>
      <c r="B145" t="str">
        <f>_xlfn.TEXTBEFORE(_xlfn.TEXTAFTER(A145,"cas-"),"_")</f>
        <v>15372-34-6</v>
      </c>
      <c r="C145" t="s">
        <v>13</v>
      </c>
      <c r="D145" t="s">
        <v>14</v>
      </c>
      <c r="E145" t="s">
        <v>12</v>
      </c>
      <c r="F145">
        <v>-9.27</v>
      </c>
      <c r="G145">
        <v>0.82469999999999999</v>
      </c>
      <c r="H145">
        <v>7.32</v>
      </c>
      <c r="I145">
        <v>6.0368040000000001</v>
      </c>
      <c r="K145" t="str">
        <f>INDEX([1]Sheet1!$A$1:$G$108, MATCH(B145,[1]Sheet1!$B:$B,0), 1)</f>
        <v>Doisynoestrol</v>
      </c>
      <c r="L145" t="str">
        <f>INDEX([1]Sheet1!$A$1:$G$108, MATCH(B145,[1]Sheet1!$B:$B,0), 3)</f>
        <v>weak</v>
      </c>
      <c r="M145" t="s">
        <v>109</v>
      </c>
    </row>
    <row r="146" spans="1:13" x14ac:dyDescent="0.3">
      <c r="A146" t="s">
        <v>42</v>
      </c>
      <c r="B146" t="str">
        <f>_xlfn.TEXTBEFORE(_xlfn.TEXTAFTER(A146,"cas-"),"_")</f>
        <v>15372-34-6</v>
      </c>
      <c r="C146" t="s">
        <v>30</v>
      </c>
      <c r="D146" t="s">
        <v>31</v>
      </c>
      <c r="E146" t="s">
        <v>12</v>
      </c>
      <c r="F146">
        <v>-4.2</v>
      </c>
      <c r="G146">
        <v>0.6462</v>
      </c>
      <c r="H146">
        <v>7.032</v>
      </c>
      <c r="I146">
        <v>4.5440784000000001</v>
      </c>
      <c r="K146" t="str">
        <f>INDEX([1]Sheet1!$A$1:$G$108, MATCH(B146,[1]Sheet1!$B:$B,0), 1)</f>
        <v>Doisynoestrol</v>
      </c>
      <c r="L146" t="str">
        <f>INDEX([1]Sheet1!$A$1:$G$108, MATCH(B146,[1]Sheet1!$B:$B,0), 3)</f>
        <v>weak</v>
      </c>
      <c r="M146" t="s">
        <v>109</v>
      </c>
    </row>
    <row r="147" spans="1:13" x14ac:dyDescent="0.3">
      <c r="A147" t="s">
        <v>42</v>
      </c>
      <c r="B147" t="str">
        <f>_xlfn.TEXTBEFORE(_xlfn.TEXTAFTER(A147,"cas-"),"_")</f>
        <v>15372-34-6</v>
      </c>
      <c r="C147" t="s">
        <v>17</v>
      </c>
      <c r="D147" t="s">
        <v>11</v>
      </c>
      <c r="E147" t="s">
        <v>12</v>
      </c>
      <c r="F147">
        <v>-9.1999999999999993</v>
      </c>
      <c r="G147">
        <v>0.7923</v>
      </c>
      <c r="H147">
        <v>7.2009999999999996</v>
      </c>
      <c r="I147">
        <v>5.7053522999999986</v>
      </c>
      <c r="K147" t="str">
        <f>INDEX([1]Sheet1!$A$1:$G$108, MATCH(B147,[1]Sheet1!$B:$B,0), 1)</f>
        <v>Doisynoestrol</v>
      </c>
      <c r="L147" t="str">
        <f>INDEX([1]Sheet1!$A$1:$G$108, MATCH(B147,[1]Sheet1!$B:$B,0), 3)</f>
        <v>weak</v>
      </c>
      <c r="M147" t="s">
        <v>109</v>
      </c>
    </row>
    <row r="148" spans="1:13" x14ac:dyDescent="0.3">
      <c r="A148" t="s">
        <v>42</v>
      </c>
      <c r="B148" t="str">
        <f>_xlfn.TEXTBEFORE(_xlfn.TEXTAFTER(A148,"cas-"),"_")</f>
        <v>15372-34-6</v>
      </c>
      <c r="C148" t="s">
        <v>22</v>
      </c>
      <c r="D148" t="s">
        <v>23</v>
      </c>
      <c r="E148" t="s">
        <v>12</v>
      </c>
      <c r="F148">
        <v>-8.91</v>
      </c>
      <c r="G148">
        <v>0.51190000000000002</v>
      </c>
      <c r="H148">
        <v>6.7670000000000003</v>
      </c>
      <c r="I148">
        <v>3.4640273000000001</v>
      </c>
      <c r="K148" t="str">
        <f>INDEX([1]Sheet1!$A$1:$G$108, MATCH(B148,[1]Sheet1!$B:$B,0), 1)</f>
        <v>Doisynoestrol</v>
      </c>
      <c r="L148" t="str">
        <f>INDEX([1]Sheet1!$A$1:$G$108, MATCH(B148,[1]Sheet1!$B:$B,0), 3)</f>
        <v>weak</v>
      </c>
      <c r="M148" t="s">
        <v>109</v>
      </c>
    </row>
    <row r="149" spans="1:13" x14ac:dyDescent="0.3">
      <c r="A149" t="s">
        <v>42</v>
      </c>
      <c r="B149" t="str">
        <f>_xlfn.TEXTBEFORE(_xlfn.TEXTAFTER(A149,"cas-"),"_")</f>
        <v>15372-34-6</v>
      </c>
      <c r="C149" t="s">
        <v>19</v>
      </c>
      <c r="D149" t="s">
        <v>20</v>
      </c>
      <c r="E149" t="s">
        <v>12</v>
      </c>
      <c r="F149">
        <v>-8.25</v>
      </c>
      <c r="G149">
        <v>0.60599999999999998</v>
      </c>
      <c r="H149">
        <v>7.0869999999999997</v>
      </c>
      <c r="I149">
        <v>4.2947220000000002</v>
      </c>
      <c r="K149" t="str">
        <f>INDEX([1]Sheet1!$A$1:$G$108, MATCH(B149,[1]Sheet1!$B:$B,0), 1)</f>
        <v>Doisynoestrol</v>
      </c>
      <c r="L149" t="str">
        <f>INDEX([1]Sheet1!$A$1:$G$108, MATCH(B149,[1]Sheet1!$B:$B,0), 3)</f>
        <v>weak</v>
      </c>
      <c r="M149" t="s">
        <v>109</v>
      </c>
    </row>
    <row r="150" spans="1:13" x14ac:dyDescent="0.3">
      <c r="A150" t="s">
        <v>42</v>
      </c>
      <c r="B150" t="str">
        <f>_xlfn.TEXTBEFORE(_xlfn.TEXTAFTER(A150,"cas-"),"_")</f>
        <v>15372-34-6</v>
      </c>
      <c r="C150" t="s">
        <v>21</v>
      </c>
      <c r="D150" t="s">
        <v>11</v>
      </c>
      <c r="E150" t="s">
        <v>12</v>
      </c>
      <c r="F150">
        <v>-9.66</v>
      </c>
      <c r="G150">
        <v>0.80130000000000001</v>
      </c>
      <c r="H150">
        <v>7.0860000000000003</v>
      </c>
      <c r="I150">
        <v>5.6780118000000002</v>
      </c>
      <c r="K150" t="str">
        <f>INDEX([1]Sheet1!$A$1:$G$108, MATCH(B150,[1]Sheet1!$B:$B,0), 1)</f>
        <v>Doisynoestrol</v>
      </c>
      <c r="L150" t="str">
        <f>INDEX([1]Sheet1!$A$1:$G$108, MATCH(B150,[1]Sheet1!$B:$B,0), 3)</f>
        <v>weak</v>
      </c>
      <c r="M150" t="s">
        <v>109</v>
      </c>
    </row>
    <row r="151" spans="1:13" x14ac:dyDescent="0.3">
      <c r="A151" t="s">
        <v>42</v>
      </c>
      <c r="B151" t="str">
        <f>_xlfn.TEXTBEFORE(_xlfn.TEXTAFTER(A151,"cas-"),"_")</f>
        <v>15372-34-6</v>
      </c>
      <c r="C151" t="s">
        <v>15</v>
      </c>
      <c r="D151" t="s">
        <v>16</v>
      </c>
      <c r="E151" t="s">
        <v>12</v>
      </c>
      <c r="F151">
        <v>-8.31</v>
      </c>
      <c r="G151">
        <v>0.70389999999999997</v>
      </c>
      <c r="H151">
        <v>7.17</v>
      </c>
      <c r="I151">
        <v>5.0469629999999999</v>
      </c>
      <c r="K151" t="str">
        <f>INDEX([1]Sheet1!$A$1:$G$108, MATCH(B151,[1]Sheet1!$B:$B,0), 1)</f>
        <v>Doisynoestrol</v>
      </c>
      <c r="L151" t="str">
        <f>INDEX([1]Sheet1!$A$1:$G$108, MATCH(B151,[1]Sheet1!$B:$B,0), 3)</f>
        <v>weak</v>
      </c>
      <c r="M151" t="s">
        <v>109</v>
      </c>
    </row>
    <row r="152" spans="1:13" x14ac:dyDescent="0.3">
      <c r="A152" t="s">
        <v>42</v>
      </c>
      <c r="B152" t="str">
        <f>_xlfn.TEXTBEFORE(_xlfn.TEXTAFTER(A152,"cas-"),"_")</f>
        <v>15372-34-6</v>
      </c>
      <c r="C152" t="s">
        <v>27</v>
      </c>
      <c r="D152" t="s">
        <v>11</v>
      </c>
      <c r="E152" t="s">
        <v>12</v>
      </c>
      <c r="F152">
        <v>-9.1300000000000008</v>
      </c>
      <c r="G152">
        <v>0.69910000000000005</v>
      </c>
      <c r="H152">
        <v>7.242</v>
      </c>
      <c r="I152">
        <v>5.0628822000000007</v>
      </c>
      <c r="K152" t="str">
        <f>INDEX([1]Sheet1!$A$1:$G$108, MATCH(B152,[1]Sheet1!$B:$B,0), 1)</f>
        <v>Doisynoestrol</v>
      </c>
      <c r="L152" t="str">
        <f>INDEX([1]Sheet1!$A$1:$G$108, MATCH(B152,[1]Sheet1!$B:$B,0), 3)</f>
        <v>weak</v>
      </c>
      <c r="M152" t="s">
        <v>109</v>
      </c>
    </row>
    <row r="153" spans="1:13" x14ac:dyDescent="0.3">
      <c r="A153" t="s">
        <v>42</v>
      </c>
      <c r="B153" t="str">
        <f>_xlfn.TEXTBEFORE(_xlfn.TEXTAFTER(A153,"cas-"),"_")</f>
        <v>15372-34-6</v>
      </c>
      <c r="C153" t="s">
        <v>24</v>
      </c>
      <c r="D153" t="s">
        <v>25</v>
      </c>
      <c r="E153" t="s">
        <v>12</v>
      </c>
      <c r="F153">
        <v>-7.88</v>
      </c>
      <c r="G153">
        <v>0.60589999999999999</v>
      </c>
      <c r="H153">
        <v>6.9589999999999996</v>
      </c>
      <c r="I153">
        <v>4.2164580999999997</v>
      </c>
      <c r="K153" t="str">
        <f>INDEX([1]Sheet1!$A$1:$G$108, MATCH(B153,[1]Sheet1!$B:$B,0), 1)</f>
        <v>Doisynoestrol</v>
      </c>
      <c r="L153" t="str">
        <f>INDEX([1]Sheet1!$A$1:$G$108, MATCH(B153,[1]Sheet1!$B:$B,0), 3)</f>
        <v>weak</v>
      </c>
      <c r="M153" t="s">
        <v>109</v>
      </c>
    </row>
    <row r="154" spans="1:13" x14ac:dyDescent="0.3">
      <c r="A154" t="s">
        <v>42</v>
      </c>
      <c r="B154" t="str">
        <f>_xlfn.TEXTBEFORE(_xlfn.TEXTAFTER(A154,"cas-"),"_")</f>
        <v>15372-34-6</v>
      </c>
      <c r="C154" t="s">
        <v>10</v>
      </c>
      <c r="D154" t="s">
        <v>11</v>
      </c>
      <c r="E154" t="s">
        <v>12</v>
      </c>
      <c r="F154">
        <v>-9.27</v>
      </c>
      <c r="G154">
        <v>0.79059999999999997</v>
      </c>
      <c r="H154">
        <v>7.3029999999999999</v>
      </c>
      <c r="I154">
        <v>5.7737517999999994</v>
      </c>
      <c r="K154" t="str">
        <f>INDEX([1]Sheet1!$A$1:$G$108, MATCH(B154,[1]Sheet1!$B:$B,0), 1)</f>
        <v>Doisynoestrol</v>
      </c>
      <c r="L154" t="str">
        <f>INDEX([1]Sheet1!$A$1:$G$108, MATCH(B154,[1]Sheet1!$B:$B,0), 3)</f>
        <v>weak</v>
      </c>
      <c r="M154" t="s">
        <v>109</v>
      </c>
    </row>
    <row r="155" spans="1:13" x14ac:dyDescent="0.3">
      <c r="A155" t="s">
        <v>42</v>
      </c>
      <c r="B155" t="str">
        <f>_xlfn.TEXTBEFORE(_xlfn.TEXTAFTER(A155,"cas-"),"_")</f>
        <v>15372-34-6</v>
      </c>
      <c r="C155" t="s">
        <v>26</v>
      </c>
      <c r="D155" t="s">
        <v>14</v>
      </c>
      <c r="E155" t="s">
        <v>12</v>
      </c>
      <c r="F155">
        <v>-8.1300000000000008</v>
      </c>
      <c r="G155">
        <v>0.76060000000000005</v>
      </c>
      <c r="H155">
        <v>7.23</v>
      </c>
      <c r="I155">
        <v>5.4991380000000003</v>
      </c>
      <c r="K155" t="str">
        <f>INDEX([1]Sheet1!$A$1:$G$108, MATCH(B155,[1]Sheet1!$B:$B,0), 1)</f>
        <v>Doisynoestrol</v>
      </c>
      <c r="L155" t="str">
        <f>INDEX([1]Sheet1!$A$1:$G$108, MATCH(B155,[1]Sheet1!$B:$B,0), 3)</f>
        <v>weak</v>
      </c>
      <c r="M155" t="s">
        <v>109</v>
      </c>
    </row>
    <row r="156" spans="1:13" x14ac:dyDescent="0.3">
      <c r="A156" t="s">
        <v>42</v>
      </c>
      <c r="B156" t="str">
        <f>_xlfn.TEXTBEFORE(_xlfn.TEXTAFTER(A156,"cas-"),"_")</f>
        <v>15372-34-6</v>
      </c>
      <c r="C156" t="s">
        <v>28</v>
      </c>
      <c r="D156" t="s">
        <v>29</v>
      </c>
      <c r="E156" t="s">
        <v>12</v>
      </c>
      <c r="F156">
        <v>-7.41</v>
      </c>
      <c r="G156">
        <v>0.62539999999999996</v>
      </c>
      <c r="H156">
        <v>7.0579999999999998</v>
      </c>
      <c r="I156">
        <v>4.4140731999999998</v>
      </c>
      <c r="K156" t="str">
        <f>INDEX([1]Sheet1!$A$1:$G$108, MATCH(B156,[1]Sheet1!$B:$B,0), 1)</f>
        <v>Doisynoestrol</v>
      </c>
      <c r="L156" t="str">
        <f>INDEX([1]Sheet1!$A$1:$G$108, MATCH(B156,[1]Sheet1!$B:$B,0), 3)</f>
        <v>weak</v>
      </c>
      <c r="M156" t="s">
        <v>109</v>
      </c>
    </row>
    <row r="157" spans="1:13" x14ac:dyDescent="0.3">
      <c r="A157" t="s">
        <v>42</v>
      </c>
      <c r="B157" t="str">
        <f>_xlfn.TEXTBEFORE(_xlfn.TEXTAFTER(A157,"cas-"),"_")</f>
        <v>15372-34-6</v>
      </c>
      <c r="C157" t="s">
        <v>18</v>
      </c>
      <c r="D157" t="s">
        <v>11</v>
      </c>
      <c r="E157" t="s">
        <v>12</v>
      </c>
      <c r="F157">
        <v>-9.24</v>
      </c>
      <c r="G157">
        <v>0.6633</v>
      </c>
      <c r="H157">
        <v>6.9219999999999997</v>
      </c>
      <c r="I157">
        <v>4.5913626000000001</v>
      </c>
      <c r="K157" t="str">
        <f>INDEX([1]Sheet1!$A$1:$G$108, MATCH(B157,[1]Sheet1!$B:$B,0), 1)</f>
        <v>Doisynoestrol</v>
      </c>
      <c r="L157" t="str">
        <f>INDEX([1]Sheet1!$A$1:$G$108, MATCH(B157,[1]Sheet1!$B:$B,0), 3)</f>
        <v>weak</v>
      </c>
      <c r="M157" t="s">
        <v>109</v>
      </c>
    </row>
    <row r="158" spans="1:13" x14ac:dyDescent="0.3">
      <c r="A158" t="s">
        <v>43</v>
      </c>
      <c r="B158" t="str">
        <f>_xlfn.TEXTBEFORE(_xlfn.TEXTAFTER(A158,"cas-"),"_")</f>
        <v>1806-26-4</v>
      </c>
      <c r="C158" t="s">
        <v>15</v>
      </c>
      <c r="D158" t="s">
        <v>16</v>
      </c>
      <c r="E158" t="s">
        <v>12</v>
      </c>
      <c r="F158">
        <v>-6.68</v>
      </c>
      <c r="G158">
        <v>0.89639999999999997</v>
      </c>
      <c r="H158">
        <v>6.7050000000000001</v>
      </c>
      <c r="I158">
        <v>6.0103619999999998</v>
      </c>
      <c r="K158" t="str">
        <f>INDEX([1]Sheet1!$A$1:$G$108, MATCH(B158,[1]Sheet1!$B:$B,0), 1)</f>
        <v>4-n-Octylphenol</v>
      </c>
      <c r="L158" t="str">
        <f>INDEX([1]Sheet1!$A$1:$G$108, MATCH(B158,[1]Sheet1!$B:$B,0), 3)</f>
        <v>weak</v>
      </c>
      <c r="M158" t="s">
        <v>109</v>
      </c>
    </row>
    <row r="159" spans="1:13" x14ac:dyDescent="0.3">
      <c r="A159" t="s">
        <v>43</v>
      </c>
      <c r="B159" t="str">
        <f>_xlfn.TEXTBEFORE(_xlfn.TEXTAFTER(A159,"cas-"),"_")</f>
        <v>1806-26-4</v>
      </c>
      <c r="C159" t="s">
        <v>10</v>
      </c>
      <c r="D159" t="s">
        <v>11</v>
      </c>
      <c r="E159" t="s">
        <v>12</v>
      </c>
      <c r="F159">
        <v>-6.9</v>
      </c>
      <c r="G159">
        <v>0.9143</v>
      </c>
      <c r="H159">
        <v>7.0190000000000001</v>
      </c>
      <c r="I159">
        <v>6.4174717000000001</v>
      </c>
      <c r="K159" t="str">
        <f>INDEX([1]Sheet1!$A$1:$G$108, MATCH(B159,[1]Sheet1!$B:$B,0), 1)</f>
        <v>4-n-Octylphenol</v>
      </c>
      <c r="L159" t="str">
        <f>INDEX([1]Sheet1!$A$1:$G$108, MATCH(B159,[1]Sheet1!$B:$B,0), 3)</f>
        <v>weak</v>
      </c>
      <c r="M159" t="s">
        <v>109</v>
      </c>
    </row>
    <row r="160" spans="1:13" x14ac:dyDescent="0.3">
      <c r="A160" t="s">
        <v>43</v>
      </c>
      <c r="B160" t="str">
        <f>_xlfn.TEXTBEFORE(_xlfn.TEXTAFTER(A160,"cas-"),"_")</f>
        <v>1806-26-4</v>
      </c>
      <c r="C160" t="s">
        <v>19</v>
      </c>
      <c r="D160" t="s">
        <v>20</v>
      </c>
      <c r="E160" t="s">
        <v>12</v>
      </c>
      <c r="F160">
        <v>-6.77</v>
      </c>
      <c r="G160">
        <v>0.84499999999999997</v>
      </c>
      <c r="H160">
        <v>6.6589999999999998</v>
      </c>
      <c r="I160">
        <v>5.6268549999999999</v>
      </c>
      <c r="K160" t="str">
        <f>INDEX([1]Sheet1!$A$1:$G$108, MATCH(B160,[1]Sheet1!$B:$B,0), 1)</f>
        <v>4-n-Octylphenol</v>
      </c>
      <c r="L160" t="str">
        <f>INDEX([1]Sheet1!$A$1:$G$108, MATCH(B160,[1]Sheet1!$B:$B,0), 3)</f>
        <v>weak</v>
      </c>
      <c r="M160" t="s">
        <v>109</v>
      </c>
    </row>
    <row r="161" spans="1:13" x14ac:dyDescent="0.3">
      <c r="A161" t="s">
        <v>43</v>
      </c>
      <c r="B161" t="str">
        <f>_xlfn.TEXTBEFORE(_xlfn.TEXTAFTER(A161,"cas-"),"_")</f>
        <v>1806-26-4</v>
      </c>
      <c r="C161" t="s">
        <v>24</v>
      </c>
      <c r="D161" t="s">
        <v>25</v>
      </c>
      <c r="E161" t="s">
        <v>12</v>
      </c>
      <c r="F161">
        <v>-6.89</v>
      </c>
      <c r="G161">
        <v>0.8538</v>
      </c>
      <c r="H161">
        <v>7.14</v>
      </c>
      <c r="I161">
        <v>6.0961319999999999</v>
      </c>
      <c r="K161" t="str">
        <f>INDEX([1]Sheet1!$A$1:$G$108, MATCH(B161,[1]Sheet1!$B:$B,0), 1)</f>
        <v>4-n-Octylphenol</v>
      </c>
      <c r="L161" t="str">
        <f>INDEX([1]Sheet1!$A$1:$G$108, MATCH(B161,[1]Sheet1!$B:$B,0), 3)</f>
        <v>weak</v>
      </c>
      <c r="M161" t="s">
        <v>109</v>
      </c>
    </row>
    <row r="162" spans="1:13" x14ac:dyDescent="0.3">
      <c r="A162" t="s">
        <v>43</v>
      </c>
      <c r="B162" t="str">
        <f>_xlfn.TEXTBEFORE(_xlfn.TEXTAFTER(A162,"cas-"),"_")</f>
        <v>1806-26-4</v>
      </c>
      <c r="C162" t="s">
        <v>13</v>
      </c>
      <c r="D162" t="s">
        <v>14</v>
      </c>
      <c r="E162" t="s">
        <v>12</v>
      </c>
      <c r="F162">
        <v>-6.87</v>
      </c>
      <c r="G162">
        <v>0.91710000000000003</v>
      </c>
      <c r="H162">
        <v>7.2919999999999998</v>
      </c>
      <c r="I162">
        <v>6.6874931999999996</v>
      </c>
      <c r="K162" t="str">
        <f>INDEX([1]Sheet1!$A$1:$G$108, MATCH(B162,[1]Sheet1!$B:$B,0), 1)</f>
        <v>4-n-Octylphenol</v>
      </c>
      <c r="L162" t="str">
        <f>INDEX([1]Sheet1!$A$1:$G$108, MATCH(B162,[1]Sheet1!$B:$B,0), 3)</f>
        <v>weak</v>
      </c>
      <c r="M162" t="s">
        <v>109</v>
      </c>
    </row>
    <row r="163" spans="1:13" x14ac:dyDescent="0.3">
      <c r="A163" t="s">
        <v>43</v>
      </c>
      <c r="B163" t="str">
        <f>_xlfn.TEXTBEFORE(_xlfn.TEXTAFTER(A163,"cas-"),"_")</f>
        <v>1806-26-4</v>
      </c>
      <c r="C163" t="s">
        <v>22</v>
      </c>
      <c r="D163" t="s">
        <v>23</v>
      </c>
      <c r="E163" t="s">
        <v>12</v>
      </c>
      <c r="F163">
        <v>-6.49</v>
      </c>
      <c r="G163">
        <v>0.89480000000000004</v>
      </c>
      <c r="H163">
        <v>7.085</v>
      </c>
      <c r="I163">
        <v>6.339658</v>
      </c>
      <c r="K163" t="str">
        <f>INDEX([1]Sheet1!$A$1:$G$108, MATCH(B163,[1]Sheet1!$B:$B,0), 1)</f>
        <v>4-n-Octylphenol</v>
      </c>
      <c r="L163" t="str">
        <f>INDEX([1]Sheet1!$A$1:$G$108, MATCH(B163,[1]Sheet1!$B:$B,0), 3)</f>
        <v>weak</v>
      </c>
      <c r="M163" t="s">
        <v>109</v>
      </c>
    </row>
    <row r="164" spans="1:13" x14ac:dyDescent="0.3">
      <c r="A164" t="s">
        <v>43</v>
      </c>
      <c r="B164" t="str">
        <f>_xlfn.TEXTBEFORE(_xlfn.TEXTAFTER(A164,"cas-"),"_")</f>
        <v>1806-26-4</v>
      </c>
      <c r="C164" t="s">
        <v>26</v>
      </c>
      <c r="D164" t="s">
        <v>14</v>
      </c>
      <c r="E164" t="s">
        <v>12</v>
      </c>
      <c r="F164">
        <v>-6.73</v>
      </c>
      <c r="G164">
        <v>0.90739999999999998</v>
      </c>
      <c r="H164">
        <v>6.931</v>
      </c>
      <c r="I164">
        <v>6.2891893999999997</v>
      </c>
      <c r="K164" t="str">
        <f>INDEX([1]Sheet1!$A$1:$G$108, MATCH(B164,[1]Sheet1!$B:$B,0), 1)</f>
        <v>4-n-Octylphenol</v>
      </c>
      <c r="L164" t="str">
        <f>INDEX([1]Sheet1!$A$1:$G$108, MATCH(B164,[1]Sheet1!$B:$B,0), 3)</f>
        <v>weak</v>
      </c>
      <c r="M164" t="s">
        <v>109</v>
      </c>
    </row>
    <row r="165" spans="1:13" x14ac:dyDescent="0.3">
      <c r="A165" t="s">
        <v>43</v>
      </c>
      <c r="B165" t="str">
        <f>_xlfn.TEXTBEFORE(_xlfn.TEXTAFTER(A165,"cas-"),"_")</f>
        <v>1806-26-4</v>
      </c>
      <c r="C165" t="s">
        <v>28</v>
      </c>
      <c r="D165" t="s">
        <v>29</v>
      </c>
      <c r="E165" t="s">
        <v>12</v>
      </c>
      <c r="F165">
        <v>-6.57</v>
      </c>
      <c r="G165">
        <v>0.92659999999999998</v>
      </c>
      <c r="H165">
        <v>7.1909999999999998</v>
      </c>
      <c r="I165">
        <v>6.6631805999999996</v>
      </c>
      <c r="K165" t="str">
        <f>INDEX([1]Sheet1!$A$1:$G$108, MATCH(B165,[1]Sheet1!$B:$B,0), 1)</f>
        <v>4-n-Octylphenol</v>
      </c>
      <c r="L165" t="str">
        <f>INDEX([1]Sheet1!$A$1:$G$108, MATCH(B165,[1]Sheet1!$B:$B,0), 3)</f>
        <v>weak</v>
      </c>
      <c r="M165" t="s">
        <v>109</v>
      </c>
    </row>
    <row r="166" spans="1:13" x14ac:dyDescent="0.3">
      <c r="A166" t="s">
        <v>43</v>
      </c>
      <c r="B166" t="str">
        <f>_xlfn.TEXTBEFORE(_xlfn.TEXTAFTER(A166,"cas-"),"_")</f>
        <v>1806-26-4</v>
      </c>
      <c r="C166" t="s">
        <v>21</v>
      </c>
      <c r="D166" t="s">
        <v>11</v>
      </c>
      <c r="E166" t="s">
        <v>12</v>
      </c>
      <c r="F166">
        <v>-6.78</v>
      </c>
      <c r="G166">
        <v>0.87639999999999996</v>
      </c>
      <c r="H166">
        <v>6.9640000000000004</v>
      </c>
      <c r="I166">
        <v>6.1032495999999998</v>
      </c>
      <c r="K166" t="str">
        <f>INDEX([1]Sheet1!$A$1:$G$108, MATCH(B166,[1]Sheet1!$B:$B,0), 1)</f>
        <v>4-n-Octylphenol</v>
      </c>
      <c r="L166" t="str">
        <f>INDEX([1]Sheet1!$A$1:$G$108, MATCH(B166,[1]Sheet1!$B:$B,0), 3)</f>
        <v>weak</v>
      </c>
      <c r="M166" t="s">
        <v>109</v>
      </c>
    </row>
    <row r="167" spans="1:13" x14ac:dyDescent="0.3">
      <c r="A167" t="s">
        <v>43</v>
      </c>
      <c r="B167" t="str">
        <f>_xlfn.TEXTBEFORE(_xlfn.TEXTAFTER(A167,"cas-"),"_")</f>
        <v>1806-26-4</v>
      </c>
      <c r="C167" t="s">
        <v>30</v>
      </c>
      <c r="D167" t="s">
        <v>31</v>
      </c>
      <c r="E167" t="s">
        <v>12</v>
      </c>
      <c r="F167">
        <v>-6.09</v>
      </c>
      <c r="G167">
        <v>0.91620000000000001</v>
      </c>
      <c r="H167">
        <v>7.3760000000000003</v>
      </c>
      <c r="I167">
        <v>6.7578912000000004</v>
      </c>
      <c r="K167" t="str">
        <f>INDEX([1]Sheet1!$A$1:$G$108, MATCH(B167,[1]Sheet1!$B:$B,0), 1)</f>
        <v>4-n-Octylphenol</v>
      </c>
      <c r="L167" t="str">
        <f>INDEX([1]Sheet1!$A$1:$G$108, MATCH(B167,[1]Sheet1!$B:$B,0), 3)</f>
        <v>weak</v>
      </c>
      <c r="M167" t="s">
        <v>109</v>
      </c>
    </row>
    <row r="168" spans="1:13" x14ac:dyDescent="0.3">
      <c r="A168" t="s">
        <v>43</v>
      </c>
      <c r="B168" t="str">
        <f>_xlfn.TEXTBEFORE(_xlfn.TEXTAFTER(A168,"cas-"),"_")</f>
        <v>1806-26-4</v>
      </c>
      <c r="C168" t="s">
        <v>17</v>
      </c>
      <c r="D168" t="s">
        <v>11</v>
      </c>
      <c r="E168" t="s">
        <v>12</v>
      </c>
      <c r="F168">
        <v>-6.5</v>
      </c>
      <c r="G168">
        <v>0.91359999999999997</v>
      </c>
      <c r="H168">
        <v>7.2839999999999998</v>
      </c>
      <c r="I168">
        <v>6.6546623999999994</v>
      </c>
      <c r="K168" t="str">
        <f>INDEX([1]Sheet1!$A$1:$G$108, MATCH(B168,[1]Sheet1!$B:$B,0), 1)</f>
        <v>4-n-Octylphenol</v>
      </c>
      <c r="L168" t="str">
        <f>INDEX([1]Sheet1!$A$1:$G$108, MATCH(B168,[1]Sheet1!$B:$B,0), 3)</f>
        <v>weak</v>
      </c>
      <c r="M168" t="s">
        <v>109</v>
      </c>
    </row>
    <row r="169" spans="1:13" x14ac:dyDescent="0.3">
      <c r="A169" t="s">
        <v>43</v>
      </c>
      <c r="B169" t="str">
        <f>_xlfn.TEXTBEFORE(_xlfn.TEXTAFTER(A169,"cas-"),"_")</f>
        <v>1806-26-4</v>
      </c>
      <c r="C169" t="s">
        <v>27</v>
      </c>
      <c r="D169" t="s">
        <v>11</v>
      </c>
      <c r="E169" t="s">
        <v>12</v>
      </c>
      <c r="F169">
        <v>-6.82</v>
      </c>
      <c r="G169">
        <v>0.93269999999999997</v>
      </c>
      <c r="H169">
        <v>7.3419999999999996</v>
      </c>
      <c r="I169">
        <v>6.8478833999999997</v>
      </c>
      <c r="K169" t="str">
        <f>INDEX([1]Sheet1!$A$1:$G$108, MATCH(B169,[1]Sheet1!$B:$B,0), 1)</f>
        <v>4-n-Octylphenol</v>
      </c>
      <c r="L169" t="str">
        <f>INDEX([1]Sheet1!$A$1:$G$108, MATCH(B169,[1]Sheet1!$B:$B,0), 3)</f>
        <v>weak</v>
      </c>
      <c r="M169" t="s">
        <v>109</v>
      </c>
    </row>
    <row r="170" spans="1:13" x14ac:dyDescent="0.3">
      <c r="A170" t="s">
        <v>43</v>
      </c>
      <c r="B170" t="str">
        <f>_xlfn.TEXTBEFORE(_xlfn.TEXTAFTER(A170,"cas-"),"_")</f>
        <v>1806-26-4</v>
      </c>
      <c r="C170" t="s">
        <v>18</v>
      </c>
      <c r="D170" t="s">
        <v>11</v>
      </c>
      <c r="E170" t="s">
        <v>12</v>
      </c>
      <c r="F170">
        <v>-6.56</v>
      </c>
      <c r="G170">
        <v>0.88180000000000003</v>
      </c>
      <c r="H170">
        <v>7.2080000000000002</v>
      </c>
      <c r="I170">
        <v>6.3560144000000003</v>
      </c>
      <c r="K170" t="str">
        <f>INDEX([1]Sheet1!$A$1:$G$108, MATCH(B170,[1]Sheet1!$B:$B,0), 1)</f>
        <v>4-n-Octylphenol</v>
      </c>
      <c r="L170" t="str">
        <f>INDEX([1]Sheet1!$A$1:$G$108, MATCH(B170,[1]Sheet1!$B:$B,0), 3)</f>
        <v>weak</v>
      </c>
      <c r="M170" t="s">
        <v>109</v>
      </c>
    </row>
    <row r="171" spans="1:13" x14ac:dyDescent="0.3">
      <c r="A171" t="s">
        <v>44</v>
      </c>
      <c r="B171" t="str">
        <f>_xlfn.TEXTBEFORE(_xlfn.TEXTAFTER(A171,"cas-"),"_")</f>
        <v>1845-11-0</v>
      </c>
      <c r="C171" t="s">
        <v>28</v>
      </c>
      <c r="D171" t="s">
        <v>29</v>
      </c>
      <c r="E171" t="s">
        <v>12</v>
      </c>
      <c r="F171">
        <v>-2.2999999999999998</v>
      </c>
      <c r="G171">
        <v>0.40910000000000002</v>
      </c>
      <c r="H171">
        <v>7.5819999999999999</v>
      </c>
      <c r="I171">
        <v>3.1017961999999999</v>
      </c>
      <c r="K171" t="str">
        <f>INDEX([1]Sheet1!$A$1:$G$108, MATCH(B171,[1]Sheet1!$B:$B,0), 1)</f>
        <v>Nafoxidine</v>
      </c>
      <c r="L171" t="str">
        <f>INDEX([1]Sheet1!$A$1:$G$108, MATCH(B171,[1]Sheet1!$B:$B,0), 3)</f>
        <v>moderate</v>
      </c>
      <c r="M171" t="s">
        <v>109</v>
      </c>
    </row>
    <row r="172" spans="1:13" x14ac:dyDescent="0.3">
      <c r="A172" t="s">
        <v>44</v>
      </c>
      <c r="B172" t="str">
        <f>_xlfn.TEXTBEFORE(_xlfn.TEXTAFTER(A172,"cas-"),"_")</f>
        <v>1845-11-0</v>
      </c>
      <c r="C172" t="s">
        <v>26</v>
      </c>
      <c r="D172" t="s">
        <v>14</v>
      </c>
      <c r="E172" t="s">
        <v>12</v>
      </c>
      <c r="F172">
        <v>18.420000000000002</v>
      </c>
      <c r="G172">
        <v>0.2661</v>
      </c>
      <c r="H172">
        <v>7.08</v>
      </c>
      <c r="I172">
        <v>1.883988</v>
      </c>
      <c r="K172" t="str">
        <f>INDEX([1]Sheet1!$A$1:$G$108, MATCH(B172,[1]Sheet1!$B:$B,0), 1)</f>
        <v>Nafoxidine</v>
      </c>
      <c r="L172" t="str">
        <f>INDEX([1]Sheet1!$A$1:$G$108, MATCH(B172,[1]Sheet1!$B:$B,0), 3)</f>
        <v>moderate</v>
      </c>
      <c r="M172" t="s">
        <v>109</v>
      </c>
    </row>
    <row r="173" spans="1:13" x14ac:dyDescent="0.3">
      <c r="A173" t="s">
        <v>44</v>
      </c>
      <c r="B173" t="str">
        <f>_xlfn.TEXTBEFORE(_xlfn.TEXTAFTER(A173,"cas-"),"_")</f>
        <v>1845-11-0</v>
      </c>
      <c r="C173" t="s">
        <v>27</v>
      </c>
      <c r="D173" t="s">
        <v>11</v>
      </c>
      <c r="E173" t="s">
        <v>12</v>
      </c>
      <c r="F173">
        <v>-1.33</v>
      </c>
      <c r="G173">
        <v>0.44290000000000002</v>
      </c>
      <c r="H173">
        <v>7.6050000000000004</v>
      </c>
      <c r="I173">
        <v>3.3682544999999999</v>
      </c>
      <c r="K173" t="str">
        <f>INDEX([1]Sheet1!$A$1:$G$108, MATCH(B173,[1]Sheet1!$B:$B,0), 1)</f>
        <v>Nafoxidine</v>
      </c>
      <c r="L173" t="str">
        <f>INDEX([1]Sheet1!$A$1:$G$108, MATCH(B173,[1]Sheet1!$B:$B,0), 3)</f>
        <v>moderate</v>
      </c>
      <c r="M173" t="s">
        <v>109</v>
      </c>
    </row>
    <row r="174" spans="1:13" x14ac:dyDescent="0.3">
      <c r="A174" t="s">
        <v>44</v>
      </c>
      <c r="B174" t="str">
        <f>_xlfn.TEXTBEFORE(_xlfn.TEXTAFTER(A174,"cas-"),"_")</f>
        <v>1845-11-0</v>
      </c>
      <c r="C174" t="s">
        <v>10</v>
      </c>
      <c r="D174" t="s">
        <v>11</v>
      </c>
      <c r="E174" t="s">
        <v>12</v>
      </c>
      <c r="F174">
        <v>4.92</v>
      </c>
      <c r="G174">
        <v>0.40560000000000002</v>
      </c>
      <c r="H174">
        <v>7.609</v>
      </c>
      <c r="I174">
        <v>3.0862104000000001</v>
      </c>
      <c r="K174" t="str">
        <f>INDEX([1]Sheet1!$A$1:$G$108, MATCH(B174,[1]Sheet1!$B:$B,0), 1)</f>
        <v>Nafoxidine</v>
      </c>
      <c r="L174" t="str">
        <f>INDEX([1]Sheet1!$A$1:$G$108, MATCH(B174,[1]Sheet1!$B:$B,0), 3)</f>
        <v>moderate</v>
      </c>
      <c r="M174" t="s">
        <v>109</v>
      </c>
    </row>
    <row r="175" spans="1:13" x14ac:dyDescent="0.3">
      <c r="A175" t="s">
        <v>44</v>
      </c>
      <c r="B175" t="str">
        <f>_xlfn.TEXTBEFORE(_xlfn.TEXTAFTER(A175,"cas-"),"_")</f>
        <v>1845-11-0</v>
      </c>
      <c r="C175" t="s">
        <v>22</v>
      </c>
      <c r="D175" t="s">
        <v>23</v>
      </c>
      <c r="E175" t="s">
        <v>12</v>
      </c>
      <c r="F175">
        <v>7.26</v>
      </c>
      <c r="G175">
        <v>0.39229999999999998</v>
      </c>
      <c r="H175">
        <v>7.3239999999999998</v>
      </c>
      <c r="I175">
        <v>2.8732052000000001</v>
      </c>
      <c r="K175" t="str">
        <f>INDEX([1]Sheet1!$A$1:$G$108, MATCH(B175,[1]Sheet1!$B:$B,0), 1)</f>
        <v>Nafoxidine</v>
      </c>
      <c r="L175" t="str">
        <f>INDEX([1]Sheet1!$A$1:$G$108, MATCH(B175,[1]Sheet1!$B:$B,0), 3)</f>
        <v>moderate</v>
      </c>
      <c r="M175" t="s">
        <v>109</v>
      </c>
    </row>
    <row r="176" spans="1:13" x14ac:dyDescent="0.3">
      <c r="A176" t="s">
        <v>44</v>
      </c>
      <c r="B176" t="str">
        <f>_xlfn.TEXTBEFORE(_xlfn.TEXTAFTER(A176,"cas-"),"_")</f>
        <v>1845-11-0</v>
      </c>
      <c r="C176" t="s">
        <v>19</v>
      </c>
      <c r="D176" t="s">
        <v>20</v>
      </c>
      <c r="E176" t="s">
        <v>12</v>
      </c>
      <c r="F176">
        <v>24.77</v>
      </c>
      <c r="G176">
        <v>0.2215</v>
      </c>
      <c r="H176">
        <v>7.2240000000000002</v>
      </c>
      <c r="I176">
        <v>1.6001160000000001</v>
      </c>
      <c r="K176" t="str">
        <f>INDEX([1]Sheet1!$A$1:$G$108, MATCH(B176,[1]Sheet1!$B:$B,0), 1)</f>
        <v>Nafoxidine</v>
      </c>
      <c r="L176" t="str">
        <f>INDEX([1]Sheet1!$A$1:$G$108, MATCH(B176,[1]Sheet1!$B:$B,0), 3)</f>
        <v>moderate</v>
      </c>
      <c r="M176" t="s">
        <v>109</v>
      </c>
    </row>
    <row r="177" spans="1:13" x14ac:dyDescent="0.3">
      <c r="A177" t="s">
        <v>44</v>
      </c>
      <c r="B177" t="str">
        <f>_xlfn.TEXTBEFORE(_xlfn.TEXTAFTER(A177,"cas-"),"_")</f>
        <v>1845-11-0</v>
      </c>
      <c r="C177" t="s">
        <v>17</v>
      </c>
      <c r="D177" t="s">
        <v>11</v>
      </c>
      <c r="E177" t="s">
        <v>12</v>
      </c>
      <c r="F177">
        <v>6.79</v>
      </c>
      <c r="G177">
        <v>0.29959999999999998</v>
      </c>
      <c r="H177">
        <v>7.5979999999999999</v>
      </c>
      <c r="I177">
        <v>2.2763608</v>
      </c>
      <c r="K177" t="str">
        <f>INDEX([1]Sheet1!$A$1:$G$108, MATCH(B177,[1]Sheet1!$B:$B,0), 1)</f>
        <v>Nafoxidine</v>
      </c>
      <c r="L177" t="str">
        <f>INDEX([1]Sheet1!$A$1:$G$108, MATCH(B177,[1]Sheet1!$B:$B,0), 3)</f>
        <v>moderate</v>
      </c>
      <c r="M177" t="s">
        <v>109</v>
      </c>
    </row>
    <row r="178" spans="1:13" x14ac:dyDescent="0.3">
      <c r="A178" t="s">
        <v>44</v>
      </c>
      <c r="B178" t="str">
        <f>_xlfn.TEXTBEFORE(_xlfn.TEXTAFTER(A178,"cas-"),"_")</f>
        <v>1845-11-0</v>
      </c>
      <c r="C178" t="s">
        <v>30</v>
      </c>
      <c r="D178" t="s">
        <v>31</v>
      </c>
      <c r="E178" t="s">
        <v>12</v>
      </c>
      <c r="F178">
        <v>7.67</v>
      </c>
      <c r="G178">
        <v>0.52769999999999995</v>
      </c>
      <c r="H178">
        <v>7.46</v>
      </c>
      <c r="I178">
        <v>3.936642</v>
      </c>
      <c r="K178" t="str">
        <f>INDEX([1]Sheet1!$A$1:$G$108, MATCH(B178,[1]Sheet1!$B:$B,0), 1)</f>
        <v>Nafoxidine</v>
      </c>
      <c r="L178" t="str">
        <f>INDEX([1]Sheet1!$A$1:$G$108, MATCH(B178,[1]Sheet1!$B:$B,0), 3)</f>
        <v>moderate</v>
      </c>
      <c r="M178" t="s">
        <v>109</v>
      </c>
    </row>
    <row r="179" spans="1:13" x14ac:dyDescent="0.3">
      <c r="A179" t="s">
        <v>44</v>
      </c>
      <c r="B179" t="str">
        <f>_xlfn.TEXTBEFORE(_xlfn.TEXTAFTER(A179,"cas-"),"_")</f>
        <v>1845-11-0</v>
      </c>
      <c r="C179" t="s">
        <v>15</v>
      </c>
      <c r="D179" t="s">
        <v>16</v>
      </c>
      <c r="E179" t="s">
        <v>12</v>
      </c>
      <c r="F179">
        <v>3.69</v>
      </c>
      <c r="G179">
        <v>0.36499999999999999</v>
      </c>
      <c r="H179">
        <v>7.5650000000000004</v>
      </c>
      <c r="I179">
        <v>2.761225</v>
      </c>
      <c r="K179" t="str">
        <f>INDEX([1]Sheet1!$A$1:$G$108, MATCH(B179,[1]Sheet1!$B:$B,0), 1)</f>
        <v>Nafoxidine</v>
      </c>
      <c r="L179" t="str">
        <f>INDEX([1]Sheet1!$A$1:$G$108, MATCH(B179,[1]Sheet1!$B:$B,0), 3)</f>
        <v>moderate</v>
      </c>
      <c r="M179" t="s">
        <v>109</v>
      </c>
    </row>
    <row r="180" spans="1:13" x14ac:dyDescent="0.3">
      <c r="A180" t="s">
        <v>44</v>
      </c>
      <c r="B180" t="str">
        <f>_xlfn.TEXTBEFORE(_xlfn.TEXTAFTER(A180,"cas-"),"_")</f>
        <v>1845-11-0</v>
      </c>
      <c r="C180" t="s">
        <v>18</v>
      </c>
      <c r="D180" t="s">
        <v>11</v>
      </c>
      <c r="E180" t="s">
        <v>12</v>
      </c>
      <c r="F180">
        <v>11.05</v>
      </c>
      <c r="G180">
        <v>0.42149999999999999</v>
      </c>
      <c r="H180">
        <v>7.3390000000000004</v>
      </c>
      <c r="I180">
        <v>3.0933885000000001</v>
      </c>
      <c r="K180" t="str">
        <f>INDEX([1]Sheet1!$A$1:$G$108, MATCH(B180,[1]Sheet1!$B:$B,0), 1)</f>
        <v>Nafoxidine</v>
      </c>
      <c r="L180" t="str">
        <f>INDEX([1]Sheet1!$A$1:$G$108, MATCH(B180,[1]Sheet1!$B:$B,0), 3)</f>
        <v>moderate</v>
      </c>
      <c r="M180" t="s">
        <v>109</v>
      </c>
    </row>
    <row r="181" spans="1:13" x14ac:dyDescent="0.3">
      <c r="A181" t="s">
        <v>44</v>
      </c>
      <c r="B181" t="str">
        <f>_xlfn.TEXTBEFORE(_xlfn.TEXTAFTER(A181,"cas-"),"_")</f>
        <v>1845-11-0</v>
      </c>
      <c r="C181" t="s">
        <v>21</v>
      </c>
      <c r="D181" t="s">
        <v>11</v>
      </c>
      <c r="E181" t="s">
        <v>12</v>
      </c>
      <c r="F181">
        <v>-2.4</v>
      </c>
      <c r="G181">
        <v>0.22750000000000001</v>
      </c>
      <c r="H181">
        <v>7.5</v>
      </c>
      <c r="I181">
        <v>1.70625</v>
      </c>
      <c r="K181" t="str">
        <f>INDEX([1]Sheet1!$A$1:$G$108, MATCH(B181,[1]Sheet1!$B:$B,0), 1)</f>
        <v>Nafoxidine</v>
      </c>
      <c r="L181" t="str">
        <f>INDEX([1]Sheet1!$A$1:$G$108, MATCH(B181,[1]Sheet1!$B:$B,0), 3)</f>
        <v>moderate</v>
      </c>
      <c r="M181" t="s">
        <v>109</v>
      </c>
    </row>
    <row r="182" spans="1:13" x14ac:dyDescent="0.3">
      <c r="A182" t="s">
        <v>44</v>
      </c>
      <c r="B182" t="str">
        <f>_xlfn.TEXTBEFORE(_xlfn.TEXTAFTER(A182,"cas-"),"_")</f>
        <v>1845-11-0</v>
      </c>
      <c r="C182" t="s">
        <v>13</v>
      </c>
      <c r="D182" t="s">
        <v>14</v>
      </c>
      <c r="E182" t="s">
        <v>12</v>
      </c>
      <c r="F182">
        <v>9.81</v>
      </c>
      <c r="G182">
        <v>0.26490000000000002</v>
      </c>
      <c r="H182">
        <v>7.4429999999999996</v>
      </c>
      <c r="I182">
        <v>1.9716507000000001</v>
      </c>
      <c r="K182" t="str">
        <f>INDEX([1]Sheet1!$A$1:$G$108, MATCH(B182,[1]Sheet1!$B:$B,0), 1)</f>
        <v>Nafoxidine</v>
      </c>
      <c r="L182" t="str">
        <f>INDEX([1]Sheet1!$A$1:$G$108, MATCH(B182,[1]Sheet1!$B:$B,0), 3)</f>
        <v>moderate</v>
      </c>
      <c r="M182" t="s">
        <v>109</v>
      </c>
    </row>
    <row r="183" spans="1:13" x14ac:dyDescent="0.3">
      <c r="A183" t="s">
        <v>44</v>
      </c>
      <c r="B183" t="str">
        <f>_xlfn.TEXTBEFORE(_xlfn.TEXTAFTER(A183,"cas-"),"_")</f>
        <v>1845-11-0</v>
      </c>
      <c r="C183" t="s">
        <v>24</v>
      </c>
      <c r="D183" t="s">
        <v>25</v>
      </c>
      <c r="E183" t="s">
        <v>12</v>
      </c>
      <c r="F183">
        <v>10.57</v>
      </c>
      <c r="G183">
        <v>0.2225</v>
      </c>
      <c r="H183">
        <v>7.282</v>
      </c>
      <c r="I183">
        <v>1.6202449999999999</v>
      </c>
      <c r="K183" t="str">
        <f>INDEX([1]Sheet1!$A$1:$G$108, MATCH(B183,[1]Sheet1!$B:$B,0), 1)</f>
        <v>Nafoxidine</v>
      </c>
      <c r="L183" t="str">
        <f>INDEX([1]Sheet1!$A$1:$G$108, MATCH(B183,[1]Sheet1!$B:$B,0), 3)</f>
        <v>moderate</v>
      </c>
      <c r="M183" t="s">
        <v>109</v>
      </c>
    </row>
    <row r="184" spans="1:13" x14ac:dyDescent="0.3">
      <c r="A184" t="s">
        <v>45</v>
      </c>
      <c r="B184" t="str">
        <f>_xlfn.TEXTBEFORE(_xlfn.TEXTAFTER(A184,"cas-"),"_")</f>
        <v>1852-53-5</v>
      </c>
      <c r="C184" t="s">
        <v>26</v>
      </c>
      <c r="D184" t="s">
        <v>14</v>
      </c>
      <c r="E184" t="s">
        <v>12</v>
      </c>
      <c r="F184">
        <v>-8.81</v>
      </c>
      <c r="G184">
        <v>0.71189999999999998</v>
      </c>
      <c r="H184">
        <v>7.6059999999999999</v>
      </c>
      <c r="I184">
        <v>5.4147113999999998</v>
      </c>
      <c r="K184" t="str">
        <f>INDEX([1]Sheet1!$A$1:$G$108, MATCH(B184,[1]Sheet1!$B:$B,0), 1)</f>
        <v>3a-Androstanediol</v>
      </c>
      <c r="L184" t="str">
        <f>INDEX([1]Sheet1!$A$1:$G$108, MATCH(B184,[1]Sheet1!$B:$B,0), 3)</f>
        <v>weak</v>
      </c>
      <c r="M184" t="s">
        <v>109</v>
      </c>
    </row>
    <row r="185" spans="1:13" x14ac:dyDescent="0.3">
      <c r="A185" t="s">
        <v>45</v>
      </c>
      <c r="B185" t="str">
        <f>_xlfn.TEXTBEFORE(_xlfn.TEXTAFTER(A185,"cas-"),"_")</f>
        <v>1852-53-5</v>
      </c>
      <c r="C185" t="s">
        <v>10</v>
      </c>
      <c r="D185" t="s">
        <v>11</v>
      </c>
      <c r="E185" t="s">
        <v>12</v>
      </c>
      <c r="F185">
        <v>-9.8800000000000008</v>
      </c>
      <c r="G185">
        <v>0.81859999999999999</v>
      </c>
      <c r="H185">
        <v>7.9909999999999997</v>
      </c>
      <c r="I185">
        <v>6.5414325999999994</v>
      </c>
      <c r="K185" t="str">
        <f>INDEX([1]Sheet1!$A$1:$G$108, MATCH(B185,[1]Sheet1!$B:$B,0), 1)</f>
        <v>3a-Androstanediol</v>
      </c>
      <c r="L185" t="str">
        <f>INDEX([1]Sheet1!$A$1:$G$108, MATCH(B185,[1]Sheet1!$B:$B,0), 3)</f>
        <v>weak</v>
      </c>
      <c r="M185" t="s">
        <v>109</v>
      </c>
    </row>
    <row r="186" spans="1:13" x14ac:dyDescent="0.3">
      <c r="A186" t="s">
        <v>45</v>
      </c>
      <c r="B186" t="str">
        <f>_xlfn.TEXTBEFORE(_xlfn.TEXTAFTER(A186,"cas-"),"_")</f>
        <v>1852-53-5</v>
      </c>
      <c r="C186" t="s">
        <v>27</v>
      </c>
      <c r="D186" t="s">
        <v>11</v>
      </c>
      <c r="E186" t="s">
        <v>12</v>
      </c>
      <c r="F186">
        <v>-8.7200000000000006</v>
      </c>
      <c r="G186">
        <v>0.69410000000000005</v>
      </c>
      <c r="H186">
        <v>7.6420000000000003</v>
      </c>
      <c r="I186">
        <v>5.3043122000000009</v>
      </c>
      <c r="K186" t="str">
        <f>INDEX([1]Sheet1!$A$1:$G$108, MATCH(B186,[1]Sheet1!$B:$B,0), 1)</f>
        <v>3a-Androstanediol</v>
      </c>
      <c r="L186" t="str">
        <f>INDEX([1]Sheet1!$A$1:$G$108, MATCH(B186,[1]Sheet1!$B:$B,0), 3)</f>
        <v>weak</v>
      </c>
      <c r="M186" t="s">
        <v>109</v>
      </c>
    </row>
    <row r="187" spans="1:13" x14ac:dyDescent="0.3">
      <c r="A187" t="s">
        <v>45</v>
      </c>
      <c r="B187" t="str">
        <f>_xlfn.TEXTBEFORE(_xlfn.TEXTAFTER(A187,"cas-"),"_")</f>
        <v>1852-53-5</v>
      </c>
      <c r="C187" t="s">
        <v>17</v>
      </c>
      <c r="D187" t="s">
        <v>11</v>
      </c>
      <c r="E187" t="s">
        <v>12</v>
      </c>
      <c r="F187">
        <v>-9.56</v>
      </c>
      <c r="G187">
        <v>0.82030000000000003</v>
      </c>
      <c r="H187">
        <v>8.1440000000000001</v>
      </c>
      <c r="I187">
        <v>6.6805232000000014</v>
      </c>
      <c r="K187" t="str">
        <f>INDEX([1]Sheet1!$A$1:$G$108, MATCH(B187,[1]Sheet1!$B:$B,0), 1)</f>
        <v>3a-Androstanediol</v>
      </c>
      <c r="L187" t="str">
        <f>INDEX([1]Sheet1!$A$1:$G$108, MATCH(B187,[1]Sheet1!$B:$B,0), 3)</f>
        <v>weak</v>
      </c>
      <c r="M187" t="s">
        <v>109</v>
      </c>
    </row>
    <row r="188" spans="1:13" x14ac:dyDescent="0.3">
      <c r="A188" t="s">
        <v>45</v>
      </c>
      <c r="B188" t="str">
        <f>_xlfn.TEXTBEFORE(_xlfn.TEXTAFTER(A188,"cas-"),"_")</f>
        <v>1852-53-5</v>
      </c>
      <c r="C188" t="s">
        <v>15</v>
      </c>
      <c r="D188" t="s">
        <v>16</v>
      </c>
      <c r="E188" t="s">
        <v>12</v>
      </c>
      <c r="F188">
        <v>-9.9</v>
      </c>
      <c r="G188">
        <v>0.78090000000000004</v>
      </c>
      <c r="H188">
        <v>7.9450000000000003</v>
      </c>
      <c r="I188">
        <v>6.2042505000000006</v>
      </c>
      <c r="K188" t="str">
        <f>INDEX([1]Sheet1!$A$1:$G$108, MATCH(B188,[1]Sheet1!$B:$B,0), 1)</f>
        <v>3a-Androstanediol</v>
      </c>
      <c r="L188" t="str">
        <f>INDEX([1]Sheet1!$A$1:$G$108, MATCH(B188,[1]Sheet1!$B:$B,0), 3)</f>
        <v>weak</v>
      </c>
      <c r="M188" t="s">
        <v>109</v>
      </c>
    </row>
    <row r="189" spans="1:13" x14ac:dyDescent="0.3">
      <c r="A189" t="s">
        <v>45</v>
      </c>
      <c r="B189" t="str">
        <f>_xlfn.TEXTBEFORE(_xlfn.TEXTAFTER(A189,"cas-"),"_")</f>
        <v>1852-53-5</v>
      </c>
      <c r="C189" t="s">
        <v>18</v>
      </c>
      <c r="D189" t="s">
        <v>11</v>
      </c>
      <c r="E189" t="s">
        <v>12</v>
      </c>
      <c r="F189">
        <v>-9.99</v>
      </c>
      <c r="G189">
        <v>0.8</v>
      </c>
      <c r="H189">
        <v>7.6890000000000001</v>
      </c>
      <c r="I189">
        <v>6.1512000000000002</v>
      </c>
      <c r="K189" t="str">
        <f>INDEX([1]Sheet1!$A$1:$G$108, MATCH(B189,[1]Sheet1!$B:$B,0), 1)</f>
        <v>3a-Androstanediol</v>
      </c>
      <c r="L189" t="str">
        <f>INDEX([1]Sheet1!$A$1:$G$108, MATCH(B189,[1]Sheet1!$B:$B,0), 3)</f>
        <v>weak</v>
      </c>
      <c r="M189" t="s">
        <v>109</v>
      </c>
    </row>
    <row r="190" spans="1:13" x14ac:dyDescent="0.3">
      <c r="A190" t="s">
        <v>45</v>
      </c>
      <c r="B190" t="str">
        <f>_xlfn.TEXTBEFORE(_xlfn.TEXTAFTER(A190,"cas-"),"_")</f>
        <v>1852-53-5</v>
      </c>
      <c r="C190" t="s">
        <v>28</v>
      </c>
      <c r="D190" t="s">
        <v>29</v>
      </c>
      <c r="E190" t="s">
        <v>12</v>
      </c>
      <c r="F190">
        <v>-8.1300000000000008</v>
      </c>
      <c r="G190">
        <v>0.70850000000000002</v>
      </c>
      <c r="H190">
        <v>7.806</v>
      </c>
      <c r="I190">
        <v>5.530551</v>
      </c>
      <c r="K190" t="str">
        <f>INDEX([1]Sheet1!$A$1:$G$108, MATCH(B190,[1]Sheet1!$B:$B,0), 1)</f>
        <v>3a-Androstanediol</v>
      </c>
      <c r="L190" t="str">
        <f>INDEX([1]Sheet1!$A$1:$G$108, MATCH(B190,[1]Sheet1!$B:$B,0), 3)</f>
        <v>weak</v>
      </c>
      <c r="M190" t="s">
        <v>109</v>
      </c>
    </row>
    <row r="191" spans="1:13" x14ac:dyDescent="0.3">
      <c r="A191" t="s">
        <v>45</v>
      </c>
      <c r="B191" t="str">
        <f>_xlfn.TEXTBEFORE(_xlfn.TEXTAFTER(A191,"cas-"),"_")</f>
        <v>1852-53-5</v>
      </c>
      <c r="C191" t="s">
        <v>24</v>
      </c>
      <c r="D191" t="s">
        <v>25</v>
      </c>
      <c r="E191" t="s">
        <v>12</v>
      </c>
      <c r="F191">
        <v>-9.64</v>
      </c>
      <c r="G191">
        <v>0.69299999999999995</v>
      </c>
      <c r="H191">
        <v>7.569</v>
      </c>
      <c r="I191">
        <v>5.245317</v>
      </c>
      <c r="K191" t="str">
        <f>INDEX([1]Sheet1!$A$1:$G$108, MATCH(B191,[1]Sheet1!$B:$B,0), 1)</f>
        <v>3a-Androstanediol</v>
      </c>
      <c r="L191" t="str">
        <f>INDEX([1]Sheet1!$A$1:$G$108, MATCH(B191,[1]Sheet1!$B:$B,0), 3)</f>
        <v>weak</v>
      </c>
      <c r="M191" t="s">
        <v>109</v>
      </c>
    </row>
    <row r="192" spans="1:13" x14ac:dyDescent="0.3">
      <c r="A192" t="s">
        <v>45</v>
      </c>
      <c r="B192" t="str">
        <f>_xlfn.TEXTBEFORE(_xlfn.TEXTAFTER(A192,"cas-"),"_")</f>
        <v>1852-53-5</v>
      </c>
      <c r="C192" t="s">
        <v>21</v>
      </c>
      <c r="D192" t="s">
        <v>11</v>
      </c>
      <c r="E192" t="s">
        <v>12</v>
      </c>
      <c r="F192">
        <v>-9.67</v>
      </c>
      <c r="G192">
        <v>0.78359999999999996</v>
      </c>
      <c r="H192">
        <v>7.6180000000000003</v>
      </c>
      <c r="I192">
        <v>5.9694647999999999</v>
      </c>
      <c r="K192" t="str">
        <f>INDEX([1]Sheet1!$A$1:$G$108, MATCH(B192,[1]Sheet1!$B:$B,0), 1)</f>
        <v>3a-Androstanediol</v>
      </c>
      <c r="L192" t="str">
        <f>INDEX([1]Sheet1!$A$1:$G$108, MATCH(B192,[1]Sheet1!$B:$B,0), 3)</f>
        <v>weak</v>
      </c>
      <c r="M192" t="s">
        <v>109</v>
      </c>
    </row>
    <row r="193" spans="1:13" x14ac:dyDescent="0.3">
      <c r="A193" t="s">
        <v>45</v>
      </c>
      <c r="B193" t="str">
        <f>_xlfn.TEXTBEFORE(_xlfn.TEXTAFTER(A193,"cas-"),"_")</f>
        <v>1852-53-5</v>
      </c>
      <c r="C193" t="s">
        <v>30</v>
      </c>
      <c r="D193" t="s">
        <v>31</v>
      </c>
      <c r="E193" t="s">
        <v>12</v>
      </c>
      <c r="F193">
        <v>-8.9600000000000009</v>
      </c>
      <c r="G193">
        <v>0.4627</v>
      </c>
      <c r="H193">
        <v>7.5640000000000001</v>
      </c>
      <c r="I193">
        <v>3.4998627999999998</v>
      </c>
      <c r="K193" t="str">
        <f>INDEX([1]Sheet1!$A$1:$G$108, MATCH(B193,[1]Sheet1!$B:$B,0), 1)</f>
        <v>3a-Androstanediol</v>
      </c>
      <c r="L193" t="str">
        <f>INDEX([1]Sheet1!$A$1:$G$108, MATCH(B193,[1]Sheet1!$B:$B,0), 3)</f>
        <v>weak</v>
      </c>
      <c r="M193" t="s">
        <v>109</v>
      </c>
    </row>
    <row r="194" spans="1:13" x14ac:dyDescent="0.3">
      <c r="A194" t="s">
        <v>45</v>
      </c>
      <c r="B194" t="str">
        <f>_xlfn.TEXTBEFORE(_xlfn.TEXTAFTER(A194,"cas-"),"_")</f>
        <v>1852-53-5</v>
      </c>
      <c r="C194" t="s">
        <v>13</v>
      </c>
      <c r="D194" t="s">
        <v>14</v>
      </c>
      <c r="E194" t="s">
        <v>12</v>
      </c>
      <c r="F194">
        <v>-8.18</v>
      </c>
      <c r="G194">
        <v>0.6179</v>
      </c>
      <c r="H194">
        <v>7.6609999999999996</v>
      </c>
      <c r="I194">
        <v>4.7337319000000004</v>
      </c>
      <c r="K194" t="str">
        <f>INDEX([1]Sheet1!$A$1:$G$108, MATCH(B194,[1]Sheet1!$B:$B,0), 1)</f>
        <v>3a-Androstanediol</v>
      </c>
      <c r="L194" t="str">
        <f>INDEX([1]Sheet1!$A$1:$G$108, MATCH(B194,[1]Sheet1!$B:$B,0), 3)</f>
        <v>weak</v>
      </c>
      <c r="M194" t="s">
        <v>109</v>
      </c>
    </row>
    <row r="195" spans="1:13" x14ac:dyDescent="0.3">
      <c r="A195" t="s">
        <v>45</v>
      </c>
      <c r="B195" t="str">
        <f>_xlfn.TEXTBEFORE(_xlfn.TEXTAFTER(A195,"cas-"),"_")</f>
        <v>1852-53-5</v>
      </c>
      <c r="C195" t="s">
        <v>22</v>
      </c>
      <c r="D195" t="s">
        <v>23</v>
      </c>
      <c r="E195" t="s">
        <v>12</v>
      </c>
      <c r="F195">
        <v>-10.29</v>
      </c>
      <c r="G195">
        <v>0.74619999999999997</v>
      </c>
      <c r="H195">
        <v>7.5810000000000004</v>
      </c>
      <c r="I195">
        <v>5.6569421999999996</v>
      </c>
      <c r="K195" t="str">
        <f>INDEX([1]Sheet1!$A$1:$G$108, MATCH(B195,[1]Sheet1!$B:$B,0), 1)</f>
        <v>3a-Androstanediol</v>
      </c>
      <c r="L195" t="str">
        <f>INDEX([1]Sheet1!$A$1:$G$108, MATCH(B195,[1]Sheet1!$B:$B,0), 3)</f>
        <v>weak</v>
      </c>
      <c r="M195" t="s">
        <v>109</v>
      </c>
    </row>
    <row r="196" spans="1:13" x14ac:dyDescent="0.3">
      <c r="A196" t="s">
        <v>45</v>
      </c>
      <c r="B196" t="str">
        <f>_xlfn.TEXTBEFORE(_xlfn.TEXTAFTER(A196,"cas-"),"_")</f>
        <v>1852-53-5</v>
      </c>
      <c r="C196" t="s">
        <v>19</v>
      </c>
      <c r="D196" t="s">
        <v>20</v>
      </c>
      <c r="E196" t="s">
        <v>12</v>
      </c>
      <c r="F196">
        <v>-9.81</v>
      </c>
      <c r="G196">
        <v>0.79039999999999999</v>
      </c>
      <c r="H196">
        <v>7.9379999999999997</v>
      </c>
      <c r="I196">
        <v>6.2741951999999994</v>
      </c>
      <c r="K196" t="str">
        <f>INDEX([1]Sheet1!$A$1:$G$108, MATCH(B196,[1]Sheet1!$B:$B,0), 1)</f>
        <v>3a-Androstanediol</v>
      </c>
      <c r="L196" t="str">
        <f>INDEX([1]Sheet1!$A$1:$G$108, MATCH(B196,[1]Sheet1!$B:$B,0), 3)</f>
        <v>weak</v>
      </c>
      <c r="M196" t="s">
        <v>109</v>
      </c>
    </row>
    <row r="197" spans="1:13" x14ac:dyDescent="0.3">
      <c r="A197" t="s">
        <v>46</v>
      </c>
      <c r="B197" t="str">
        <f>_xlfn.TEXTBEFORE(_xlfn.TEXTAFTER(A197,"cas-"),"_")</f>
        <v>2050-68-2</v>
      </c>
      <c r="C197" t="s">
        <v>10</v>
      </c>
      <c r="D197" t="s">
        <v>11</v>
      </c>
      <c r="E197" t="s">
        <v>12</v>
      </c>
      <c r="F197">
        <v>-6.88</v>
      </c>
      <c r="G197">
        <v>0.74880000000000002</v>
      </c>
      <c r="H197">
        <v>5.6849999999999996</v>
      </c>
      <c r="I197">
        <v>4.2569280000000003</v>
      </c>
      <c r="K197" t="str">
        <f>INDEX([1]Sheet1!$A$1:$G$108, MATCH(B197,[1]Sheet1!$B:$B,0), 1)</f>
        <v>"4,4'-Dichlorobiphenyl"</v>
      </c>
      <c r="L197" t="str">
        <f>INDEX([1]Sheet1!$A$1:$G$108, MATCH(B197,[1]Sheet1!$B:$B,0), 3)</f>
        <v>weak</v>
      </c>
      <c r="M197" t="s">
        <v>109</v>
      </c>
    </row>
    <row r="198" spans="1:13" x14ac:dyDescent="0.3">
      <c r="A198" t="s">
        <v>46</v>
      </c>
      <c r="B198" t="str">
        <f>_xlfn.TEXTBEFORE(_xlfn.TEXTAFTER(A198,"cas-"),"_")</f>
        <v>2050-68-2</v>
      </c>
      <c r="C198" t="s">
        <v>28</v>
      </c>
      <c r="D198" t="s">
        <v>29</v>
      </c>
      <c r="E198" t="s">
        <v>12</v>
      </c>
      <c r="F198">
        <v>-6.71</v>
      </c>
      <c r="G198">
        <v>0.6694</v>
      </c>
      <c r="H198">
        <v>5.5389999999999997</v>
      </c>
      <c r="I198">
        <v>3.7078066000000001</v>
      </c>
      <c r="K198" t="str">
        <f>INDEX([1]Sheet1!$A$1:$G$108, MATCH(B198,[1]Sheet1!$B:$B,0), 1)</f>
        <v>"4,4'-Dichlorobiphenyl"</v>
      </c>
      <c r="L198" t="str">
        <f>INDEX([1]Sheet1!$A$1:$G$108, MATCH(B198,[1]Sheet1!$B:$B,0), 3)</f>
        <v>weak</v>
      </c>
      <c r="M198" t="s">
        <v>109</v>
      </c>
    </row>
    <row r="199" spans="1:13" x14ac:dyDescent="0.3">
      <c r="A199" t="s">
        <v>46</v>
      </c>
      <c r="B199" t="str">
        <f>_xlfn.TEXTBEFORE(_xlfn.TEXTAFTER(A199,"cas-"),"_")</f>
        <v>2050-68-2</v>
      </c>
      <c r="C199" t="s">
        <v>19</v>
      </c>
      <c r="D199" t="s">
        <v>20</v>
      </c>
      <c r="E199" t="s">
        <v>12</v>
      </c>
      <c r="F199">
        <v>-6.34</v>
      </c>
      <c r="G199">
        <v>0.77990000000000004</v>
      </c>
      <c r="H199">
        <v>5.6020000000000003</v>
      </c>
      <c r="I199">
        <v>4.3689998000000001</v>
      </c>
      <c r="K199" t="str">
        <f>INDEX([1]Sheet1!$A$1:$G$108, MATCH(B199,[1]Sheet1!$B:$B,0), 1)</f>
        <v>"4,4'-Dichlorobiphenyl"</v>
      </c>
      <c r="L199" t="str">
        <f>INDEX([1]Sheet1!$A$1:$G$108, MATCH(B199,[1]Sheet1!$B:$B,0), 3)</f>
        <v>weak</v>
      </c>
      <c r="M199" t="s">
        <v>109</v>
      </c>
    </row>
    <row r="200" spans="1:13" x14ac:dyDescent="0.3">
      <c r="A200" t="s">
        <v>46</v>
      </c>
      <c r="B200" t="str">
        <f>_xlfn.TEXTBEFORE(_xlfn.TEXTAFTER(A200,"cas-"),"_")</f>
        <v>2050-68-2</v>
      </c>
      <c r="C200" t="s">
        <v>17</v>
      </c>
      <c r="D200" t="s">
        <v>11</v>
      </c>
      <c r="E200" t="s">
        <v>12</v>
      </c>
      <c r="F200">
        <v>-6.81</v>
      </c>
      <c r="G200">
        <v>0.60229999999999995</v>
      </c>
      <c r="H200">
        <v>5.8479999999999999</v>
      </c>
      <c r="I200">
        <v>3.522250399999999</v>
      </c>
      <c r="K200" t="str">
        <f>INDEX([1]Sheet1!$A$1:$G$108, MATCH(B200,[1]Sheet1!$B:$B,0), 1)</f>
        <v>"4,4'-Dichlorobiphenyl"</v>
      </c>
      <c r="L200" t="str">
        <f>INDEX([1]Sheet1!$A$1:$G$108, MATCH(B200,[1]Sheet1!$B:$B,0), 3)</f>
        <v>weak</v>
      </c>
      <c r="M200" t="s">
        <v>109</v>
      </c>
    </row>
    <row r="201" spans="1:13" x14ac:dyDescent="0.3">
      <c r="A201" t="s">
        <v>46</v>
      </c>
      <c r="B201" t="str">
        <f>_xlfn.TEXTBEFORE(_xlfn.TEXTAFTER(A201,"cas-"),"_")</f>
        <v>2050-68-2</v>
      </c>
      <c r="C201" t="s">
        <v>26</v>
      </c>
      <c r="D201" t="s">
        <v>14</v>
      </c>
      <c r="E201" t="s">
        <v>12</v>
      </c>
      <c r="F201">
        <v>-6.85</v>
      </c>
      <c r="G201">
        <v>0.83909999999999996</v>
      </c>
      <c r="H201">
        <v>5.5129999999999999</v>
      </c>
      <c r="I201">
        <v>4.6259582999999997</v>
      </c>
      <c r="K201" t="str">
        <f>INDEX([1]Sheet1!$A$1:$G$108, MATCH(B201,[1]Sheet1!$B:$B,0), 1)</f>
        <v>"4,4'-Dichlorobiphenyl"</v>
      </c>
      <c r="L201" t="str">
        <f>INDEX([1]Sheet1!$A$1:$G$108, MATCH(B201,[1]Sheet1!$B:$B,0), 3)</f>
        <v>weak</v>
      </c>
      <c r="M201" t="s">
        <v>109</v>
      </c>
    </row>
    <row r="202" spans="1:13" x14ac:dyDescent="0.3">
      <c r="A202" t="s">
        <v>46</v>
      </c>
      <c r="B202" t="str">
        <f>_xlfn.TEXTBEFORE(_xlfn.TEXTAFTER(A202,"cas-"),"_")</f>
        <v>2050-68-2</v>
      </c>
      <c r="C202" t="s">
        <v>30</v>
      </c>
      <c r="D202" t="s">
        <v>31</v>
      </c>
      <c r="E202" t="s">
        <v>12</v>
      </c>
      <c r="F202">
        <v>-6.22</v>
      </c>
      <c r="G202">
        <v>0.70669999999999999</v>
      </c>
      <c r="H202">
        <v>5.5270000000000001</v>
      </c>
      <c r="I202">
        <v>3.9059309</v>
      </c>
      <c r="K202" t="str">
        <f>INDEX([1]Sheet1!$A$1:$G$108, MATCH(B202,[1]Sheet1!$B:$B,0), 1)</f>
        <v>"4,4'-Dichlorobiphenyl"</v>
      </c>
      <c r="L202" t="str">
        <f>INDEX([1]Sheet1!$A$1:$G$108, MATCH(B202,[1]Sheet1!$B:$B,0), 3)</f>
        <v>weak</v>
      </c>
      <c r="M202" t="s">
        <v>109</v>
      </c>
    </row>
    <row r="203" spans="1:13" x14ac:dyDescent="0.3">
      <c r="A203" t="s">
        <v>46</v>
      </c>
      <c r="B203" t="str">
        <f>_xlfn.TEXTBEFORE(_xlfn.TEXTAFTER(A203,"cas-"),"_")</f>
        <v>2050-68-2</v>
      </c>
      <c r="C203" t="s">
        <v>13</v>
      </c>
      <c r="D203" t="s">
        <v>14</v>
      </c>
      <c r="E203" t="s">
        <v>12</v>
      </c>
      <c r="F203">
        <v>-7.35</v>
      </c>
      <c r="G203">
        <v>0.87560000000000004</v>
      </c>
      <c r="H203">
        <v>5.9249999999999998</v>
      </c>
      <c r="I203">
        <v>5.1879299999999997</v>
      </c>
      <c r="K203" t="str">
        <f>INDEX([1]Sheet1!$A$1:$G$108, MATCH(B203,[1]Sheet1!$B:$B,0), 1)</f>
        <v>"4,4'-Dichlorobiphenyl"</v>
      </c>
      <c r="L203" t="str">
        <f>INDEX([1]Sheet1!$A$1:$G$108, MATCH(B203,[1]Sheet1!$B:$B,0), 3)</f>
        <v>weak</v>
      </c>
      <c r="M203" t="s">
        <v>109</v>
      </c>
    </row>
    <row r="204" spans="1:13" x14ac:dyDescent="0.3">
      <c r="A204" t="s">
        <v>46</v>
      </c>
      <c r="B204" t="str">
        <f>_xlfn.TEXTBEFORE(_xlfn.TEXTAFTER(A204,"cas-"),"_")</f>
        <v>2050-68-2</v>
      </c>
      <c r="C204" t="s">
        <v>22</v>
      </c>
      <c r="D204" t="s">
        <v>23</v>
      </c>
      <c r="E204" t="s">
        <v>12</v>
      </c>
      <c r="F204">
        <v>-0.03</v>
      </c>
      <c r="G204">
        <v>0.72209999999999996</v>
      </c>
      <c r="H204">
        <v>5.2329999999999997</v>
      </c>
      <c r="I204">
        <v>3.778749299999999</v>
      </c>
      <c r="K204" t="str">
        <f>INDEX([1]Sheet1!$A$1:$G$108, MATCH(B204,[1]Sheet1!$B:$B,0), 1)</f>
        <v>"4,4'-Dichlorobiphenyl"</v>
      </c>
      <c r="L204" t="str">
        <f>INDEX([1]Sheet1!$A$1:$G$108, MATCH(B204,[1]Sheet1!$B:$B,0), 3)</f>
        <v>weak</v>
      </c>
      <c r="M204" t="s">
        <v>109</v>
      </c>
    </row>
    <row r="205" spans="1:13" x14ac:dyDescent="0.3">
      <c r="A205" t="s">
        <v>46</v>
      </c>
      <c r="B205" t="str">
        <f>_xlfn.TEXTBEFORE(_xlfn.TEXTAFTER(A205,"cas-"),"_")</f>
        <v>2050-68-2</v>
      </c>
      <c r="C205" t="s">
        <v>18</v>
      </c>
      <c r="D205" t="s">
        <v>11</v>
      </c>
      <c r="E205" t="s">
        <v>12</v>
      </c>
      <c r="F205">
        <v>-6.92</v>
      </c>
      <c r="G205">
        <v>0.66520000000000001</v>
      </c>
      <c r="H205">
        <v>5.6859999999999999</v>
      </c>
      <c r="I205">
        <v>3.7823272000000001</v>
      </c>
      <c r="K205" t="str">
        <f>INDEX([1]Sheet1!$A$1:$G$108, MATCH(B205,[1]Sheet1!$B:$B,0), 1)</f>
        <v>"4,4'-Dichlorobiphenyl"</v>
      </c>
      <c r="L205" t="str">
        <f>INDEX([1]Sheet1!$A$1:$G$108, MATCH(B205,[1]Sheet1!$B:$B,0), 3)</f>
        <v>weak</v>
      </c>
      <c r="M205" t="s">
        <v>109</v>
      </c>
    </row>
    <row r="206" spans="1:13" x14ac:dyDescent="0.3">
      <c r="A206" t="s">
        <v>46</v>
      </c>
      <c r="B206" t="str">
        <f>_xlfn.TEXTBEFORE(_xlfn.TEXTAFTER(A206,"cas-"),"_")</f>
        <v>2050-68-2</v>
      </c>
      <c r="C206" t="s">
        <v>27</v>
      </c>
      <c r="D206" t="s">
        <v>11</v>
      </c>
      <c r="E206" t="s">
        <v>12</v>
      </c>
      <c r="F206">
        <v>-6.81</v>
      </c>
      <c r="G206">
        <v>0.62649999999999995</v>
      </c>
      <c r="H206">
        <v>5.4930000000000003</v>
      </c>
      <c r="I206">
        <v>3.4413645000000002</v>
      </c>
      <c r="K206" t="str">
        <f>INDEX([1]Sheet1!$A$1:$G$108, MATCH(B206,[1]Sheet1!$B:$B,0), 1)</f>
        <v>"4,4'-Dichlorobiphenyl"</v>
      </c>
      <c r="L206" t="str">
        <f>INDEX([1]Sheet1!$A$1:$G$108, MATCH(B206,[1]Sheet1!$B:$B,0), 3)</f>
        <v>weak</v>
      </c>
      <c r="M206" t="s">
        <v>109</v>
      </c>
    </row>
    <row r="207" spans="1:13" x14ac:dyDescent="0.3">
      <c r="A207" t="s">
        <v>46</v>
      </c>
      <c r="B207" t="str">
        <f>_xlfn.TEXTBEFORE(_xlfn.TEXTAFTER(A207,"cas-"),"_")</f>
        <v>2050-68-2</v>
      </c>
      <c r="C207" t="s">
        <v>15</v>
      </c>
      <c r="D207" t="s">
        <v>16</v>
      </c>
      <c r="E207" t="s">
        <v>12</v>
      </c>
      <c r="F207">
        <v>-6.8</v>
      </c>
      <c r="G207">
        <v>0.7369</v>
      </c>
      <c r="H207">
        <v>5.5990000000000002</v>
      </c>
      <c r="I207">
        <v>4.1259031000000004</v>
      </c>
      <c r="K207" t="str">
        <f>INDEX([1]Sheet1!$A$1:$G$108, MATCH(B207,[1]Sheet1!$B:$B,0), 1)</f>
        <v>"4,4'-Dichlorobiphenyl"</v>
      </c>
      <c r="L207" t="str">
        <f>INDEX([1]Sheet1!$A$1:$G$108, MATCH(B207,[1]Sheet1!$B:$B,0), 3)</f>
        <v>weak</v>
      </c>
      <c r="M207" t="s">
        <v>109</v>
      </c>
    </row>
    <row r="208" spans="1:13" x14ac:dyDescent="0.3">
      <c r="A208" t="s">
        <v>46</v>
      </c>
      <c r="B208" t="str">
        <f>_xlfn.TEXTBEFORE(_xlfn.TEXTAFTER(A208,"cas-"),"_")</f>
        <v>2050-68-2</v>
      </c>
      <c r="C208" t="s">
        <v>24</v>
      </c>
      <c r="D208" t="s">
        <v>25</v>
      </c>
      <c r="E208" t="s">
        <v>12</v>
      </c>
      <c r="F208">
        <v>-6.24</v>
      </c>
      <c r="G208">
        <v>0.69199999999999995</v>
      </c>
      <c r="H208">
        <v>5.758</v>
      </c>
      <c r="I208">
        <v>3.9845359999999999</v>
      </c>
      <c r="K208" t="str">
        <f>INDEX([1]Sheet1!$A$1:$G$108, MATCH(B208,[1]Sheet1!$B:$B,0), 1)</f>
        <v>"4,4'-Dichlorobiphenyl"</v>
      </c>
      <c r="L208" t="str">
        <f>INDEX([1]Sheet1!$A$1:$G$108, MATCH(B208,[1]Sheet1!$B:$B,0), 3)</f>
        <v>weak</v>
      </c>
      <c r="M208" t="s">
        <v>109</v>
      </c>
    </row>
    <row r="209" spans="1:13" x14ac:dyDescent="0.3">
      <c r="A209" t="s">
        <v>46</v>
      </c>
      <c r="B209" t="str">
        <f>_xlfn.TEXTBEFORE(_xlfn.TEXTAFTER(A209,"cas-"),"_")</f>
        <v>2050-68-2</v>
      </c>
      <c r="C209" t="s">
        <v>21</v>
      </c>
      <c r="D209" t="s">
        <v>11</v>
      </c>
      <c r="E209" t="s">
        <v>12</v>
      </c>
      <c r="F209">
        <v>-5.49</v>
      </c>
      <c r="G209">
        <v>0.64239999999999997</v>
      </c>
      <c r="H209">
        <v>5.476</v>
      </c>
      <c r="I209">
        <v>3.5177824000000002</v>
      </c>
      <c r="K209" t="str">
        <f>INDEX([1]Sheet1!$A$1:$G$108, MATCH(B209,[1]Sheet1!$B:$B,0), 1)</f>
        <v>"4,4'-Dichlorobiphenyl"</v>
      </c>
      <c r="L209" t="str">
        <f>INDEX([1]Sheet1!$A$1:$G$108, MATCH(B209,[1]Sheet1!$B:$B,0), 3)</f>
        <v>weak</v>
      </c>
      <c r="M209" t="s">
        <v>109</v>
      </c>
    </row>
    <row r="210" spans="1:13" x14ac:dyDescent="0.3">
      <c r="A210" t="s">
        <v>47</v>
      </c>
      <c r="B210" t="str">
        <f>_xlfn.TEXTBEFORE(_xlfn.TEXTAFTER(A210,"cas-"),"_")</f>
        <v>218-01-9</v>
      </c>
      <c r="C210" t="s">
        <v>22</v>
      </c>
      <c r="D210" t="s">
        <v>23</v>
      </c>
      <c r="E210" t="s">
        <v>12</v>
      </c>
      <c r="F210">
        <v>-9.66</v>
      </c>
      <c r="G210">
        <v>0.84619999999999995</v>
      </c>
      <c r="H210">
        <v>6.1360000000000001</v>
      </c>
      <c r="I210">
        <v>5.1922831999999994</v>
      </c>
      <c r="K210" t="str">
        <f>INDEX([1]Sheet1!$A$1:$G$108, MATCH(B210,[1]Sheet1!$B:$B,0), 1)</f>
        <v>Chrysene</v>
      </c>
      <c r="L210" t="str">
        <f>INDEX([1]Sheet1!$A$1:$G$108, MATCH(B210,[1]Sheet1!$B:$B,0), 3)</f>
        <v>weak</v>
      </c>
      <c r="M210" t="s">
        <v>109</v>
      </c>
    </row>
    <row r="211" spans="1:13" x14ac:dyDescent="0.3">
      <c r="A211" t="s">
        <v>47</v>
      </c>
      <c r="B211" t="str">
        <f>_xlfn.TEXTBEFORE(_xlfn.TEXTAFTER(A211,"cas-"),"_")</f>
        <v>218-01-9</v>
      </c>
      <c r="C211" t="s">
        <v>13</v>
      </c>
      <c r="D211" t="s">
        <v>14</v>
      </c>
      <c r="E211" t="s">
        <v>12</v>
      </c>
      <c r="F211">
        <v>-10.33</v>
      </c>
      <c r="G211">
        <v>0.89180000000000004</v>
      </c>
      <c r="H211">
        <v>6.2859999999999996</v>
      </c>
      <c r="I211">
        <v>5.6058547999999986</v>
      </c>
      <c r="K211" t="str">
        <f>INDEX([1]Sheet1!$A$1:$G$108, MATCH(B211,[1]Sheet1!$B:$B,0), 1)</f>
        <v>Chrysene</v>
      </c>
      <c r="L211" t="str">
        <f>INDEX([1]Sheet1!$A$1:$G$108, MATCH(B211,[1]Sheet1!$B:$B,0), 3)</f>
        <v>weak</v>
      </c>
      <c r="M211" t="s">
        <v>109</v>
      </c>
    </row>
    <row r="212" spans="1:13" x14ac:dyDescent="0.3">
      <c r="A212" t="s">
        <v>47</v>
      </c>
      <c r="B212" t="str">
        <f>_xlfn.TEXTBEFORE(_xlfn.TEXTAFTER(A212,"cas-"),"_")</f>
        <v>218-01-9</v>
      </c>
      <c r="C212" t="s">
        <v>30</v>
      </c>
      <c r="D212" t="s">
        <v>31</v>
      </c>
      <c r="E212" t="s">
        <v>12</v>
      </c>
      <c r="F212">
        <v>-8.36</v>
      </c>
      <c r="G212">
        <v>0.80169999999999997</v>
      </c>
      <c r="H212">
        <v>6.0650000000000004</v>
      </c>
      <c r="I212">
        <v>4.8623105000000004</v>
      </c>
      <c r="K212" t="str">
        <f>INDEX([1]Sheet1!$A$1:$G$108, MATCH(B212,[1]Sheet1!$B:$B,0), 1)</f>
        <v>Chrysene</v>
      </c>
      <c r="L212" t="str">
        <f>INDEX([1]Sheet1!$A$1:$G$108, MATCH(B212,[1]Sheet1!$B:$B,0), 3)</f>
        <v>weak</v>
      </c>
      <c r="M212" t="s">
        <v>109</v>
      </c>
    </row>
    <row r="213" spans="1:13" x14ac:dyDescent="0.3">
      <c r="A213" t="s">
        <v>47</v>
      </c>
      <c r="B213" t="str">
        <f>_xlfn.TEXTBEFORE(_xlfn.TEXTAFTER(A213,"cas-"),"_")</f>
        <v>218-01-9</v>
      </c>
      <c r="C213" t="s">
        <v>17</v>
      </c>
      <c r="D213" t="s">
        <v>11</v>
      </c>
      <c r="E213" t="s">
        <v>12</v>
      </c>
      <c r="F213">
        <v>-9.19</v>
      </c>
      <c r="G213">
        <v>0.8448</v>
      </c>
      <c r="H213">
        <v>6.1989999999999998</v>
      </c>
      <c r="I213">
        <v>5.2369151999999994</v>
      </c>
      <c r="K213" t="str">
        <f>INDEX([1]Sheet1!$A$1:$G$108, MATCH(B213,[1]Sheet1!$B:$B,0), 1)</f>
        <v>Chrysene</v>
      </c>
      <c r="L213" t="str">
        <f>INDEX([1]Sheet1!$A$1:$G$108, MATCH(B213,[1]Sheet1!$B:$B,0), 3)</f>
        <v>weak</v>
      </c>
      <c r="M213" t="s">
        <v>109</v>
      </c>
    </row>
    <row r="214" spans="1:13" x14ac:dyDescent="0.3">
      <c r="A214" t="s">
        <v>47</v>
      </c>
      <c r="B214" t="str">
        <f>_xlfn.TEXTBEFORE(_xlfn.TEXTAFTER(A214,"cas-"),"_")</f>
        <v>218-01-9</v>
      </c>
      <c r="C214" t="s">
        <v>26</v>
      </c>
      <c r="D214" t="s">
        <v>14</v>
      </c>
      <c r="E214" t="s">
        <v>12</v>
      </c>
      <c r="F214">
        <v>-9.9700000000000006</v>
      </c>
      <c r="G214">
        <v>0.91300000000000003</v>
      </c>
      <c r="H214">
        <v>6.3239999999999998</v>
      </c>
      <c r="I214">
        <v>5.7738120000000004</v>
      </c>
      <c r="K214" t="str">
        <f>INDEX([1]Sheet1!$A$1:$G$108, MATCH(B214,[1]Sheet1!$B:$B,0), 1)</f>
        <v>Chrysene</v>
      </c>
      <c r="L214" t="str">
        <f>INDEX([1]Sheet1!$A$1:$G$108, MATCH(B214,[1]Sheet1!$B:$B,0), 3)</f>
        <v>weak</v>
      </c>
      <c r="M214" t="s">
        <v>109</v>
      </c>
    </row>
    <row r="215" spans="1:13" x14ac:dyDescent="0.3">
      <c r="A215" t="s">
        <v>47</v>
      </c>
      <c r="B215" t="str">
        <f>_xlfn.TEXTBEFORE(_xlfn.TEXTAFTER(A215,"cas-"),"_")</f>
        <v>218-01-9</v>
      </c>
      <c r="C215" t="s">
        <v>19</v>
      </c>
      <c r="D215" t="s">
        <v>20</v>
      </c>
      <c r="E215" t="s">
        <v>12</v>
      </c>
      <c r="F215">
        <v>-9.57</v>
      </c>
      <c r="G215">
        <v>0.8387</v>
      </c>
      <c r="H215">
        <v>5.9279999999999999</v>
      </c>
      <c r="I215">
        <v>4.9718135999999999</v>
      </c>
      <c r="K215" t="str">
        <f>INDEX([1]Sheet1!$A$1:$G$108, MATCH(B215,[1]Sheet1!$B:$B,0), 1)</f>
        <v>Chrysene</v>
      </c>
      <c r="L215" t="str">
        <f>INDEX([1]Sheet1!$A$1:$G$108, MATCH(B215,[1]Sheet1!$B:$B,0), 3)</f>
        <v>weak</v>
      </c>
      <c r="M215" t="s">
        <v>109</v>
      </c>
    </row>
    <row r="216" spans="1:13" x14ac:dyDescent="0.3">
      <c r="A216" t="s">
        <v>47</v>
      </c>
      <c r="B216" t="str">
        <f>_xlfn.TEXTBEFORE(_xlfn.TEXTAFTER(A216,"cas-"),"_")</f>
        <v>218-01-9</v>
      </c>
      <c r="C216" t="s">
        <v>15</v>
      </c>
      <c r="D216" t="s">
        <v>16</v>
      </c>
      <c r="E216" t="s">
        <v>12</v>
      </c>
      <c r="F216">
        <v>-9.73</v>
      </c>
      <c r="G216">
        <v>0.85829999999999995</v>
      </c>
      <c r="H216">
        <v>6.3520000000000003</v>
      </c>
      <c r="I216">
        <v>5.4519216000000004</v>
      </c>
      <c r="K216" t="str">
        <f>INDEX([1]Sheet1!$A$1:$G$108, MATCH(B216,[1]Sheet1!$B:$B,0), 1)</f>
        <v>Chrysene</v>
      </c>
      <c r="L216" t="str">
        <f>INDEX([1]Sheet1!$A$1:$G$108, MATCH(B216,[1]Sheet1!$B:$B,0), 3)</f>
        <v>weak</v>
      </c>
      <c r="M216" t="s">
        <v>109</v>
      </c>
    </row>
    <row r="217" spans="1:13" x14ac:dyDescent="0.3">
      <c r="A217" t="s">
        <v>47</v>
      </c>
      <c r="B217" t="str">
        <f>_xlfn.TEXTBEFORE(_xlfn.TEXTAFTER(A217,"cas-"),"_")</f>
        <v>218-01-9</v>
      </c>
      <c r="C217" t="s">
        <v>24</v>
      </c>
      <c r="D217" t="s">
        <v>25</v>
      </c>
      <c r="E217" t="s">
        <v>12</v>
      </c>
      <c r="F217">
        <v>-9.5399999999999991</v>
      </c>
      <c r="G217">
        <v>0.876</v>
      </c>
      <c r="H217">
        <v>6.2169999999999996</v>
      </c>
      <c r="I217">
        <v>5.4460919999999993</v>
      </c>
      <c r="K217" t="str">
        <f>INDEX([1]Sheet1!$A$1:$G$108, MATCH(B217,[1]Sheet1!$B:$B,0), 1)</f>
        <v>Chrysene</v>
      </c>
      <c r="L217" t="str">
        <f>INDEX([1]Sheet1!$A$1:$G$108, MATCH(B217,[1]Sheet1!$B:$B,0), 3)</f>
        <v>weak</v>
      </c>
      <c r="M217" t="s">
        <v>109</v>
      </c>
    </row>
    <row r="218" spans="1:13" x14ac:dyDescent="0.3">
      <c r="A218" t="s">
        <v>47</v>
      </c>
      <c r="B218" t="str">
        <f>_xlfn.TEXTBEFORE(_xlfn.TEXTAFTER(A218,"cas-"),"_")</f>
        <v>218-01-9</v>
      </c>
      <c r="C218" t="s">
        <v>18</v>
      </c>
      <c r="D218" t="s">
        <v>11</v>
      </c>
      <c r="E218" t="s">
        <v>12</v>
      </c>
      <c r="F218">
        <v>-9.82</v>
      </c>
      <c r="G218">
        <v>0.88160000000000005</v>
      </c>
      <c r="H218">
        <v>6.2329999999999997</v>
      </c>
      <c r="I218">
        <v>5.4950127999999996</v>
      </c>
      <c r="K218" t="str">
        <f>INDEX([1]Sheet1!$A$1:$G$108, MATCH(B218,[1]Sheet1!$B:$B,0), 1)</f>
        <v>Chrysene</v>
      </c>
      <c r="L218" t="str">
        <f>INDEX([1]Sheet1!$A$1:$G$108, MATCH(B218,[1]Sheet1!$B:$B,0), 3)</f>
        <v>weak</v>
      </c>
      <c r="M218" t="s">
        <v>109</v>
      </c>
    </row>
    <row r="219" spans="1:13" x14ac:dyDescent="0.3">
      <c r="A219" t="s">
        <v>47</v>
      </c>
      <c r="B219" t="str">
        <f>_xlfn.TEXTBEFORE(_xlfn.TEXTAFTER(A219,"cas-"),"_")</f>
        <v>218-01-9</v>
      </c>
      <c r="C219" t="s">
        <v>28</v>
      </c>
      <c r="D219" t="s">
        <v>29</v>
      </c>
      <c r="E219" t="s">
        <v>12</v>
      </c>
      <c r="F219">
        <v>-8.99</v>
      </c>
      <c r="G219">
        <v>0.82220000000000004</v>
      </c>
      <c r="H219">
        <v>6.1420000000000003</v>
      </c>
      <c r="I219">
        <v>5.0499523999999996</v>
      </c>
      <c r="K219" t="str">
        <f>INDEX([1]Sheet1!$A$1:$G$108, MATCH(B219,[1]Sheet1!$B:$B,0), 1)</f>
        <v>Chrysene</v>
      </c>
      <c r="L219" t="str">
        <f>INDEX([1]Sheet1!$A$1:$G$108, MATCH(B219,[1]Sheet1!$B:$B,0), 3)</f>
        <v>weak</v>
      </c>
      <c r="M219" t="s">
        <v>109</v>
      </c>
    </row>
    <row r="220" spans="1:13" x14ac:dyDescent="0.3">
      <c r="A220" t="s">
        <v>47</v>
      </c>
      <c r="B220" t="str">
        <f>_xlfn.TEXTBEFORE(_xlfn.TEXTAFTER(A220,"cas-"),"_")</f>
        <v>218-01-9</v>
      </c>
      <c r="C220" t="s">
        <v>27</v>
      </c>
      <c r="D220" t="s">
        <v>11</v>
      </c>
      <c r="E220" t="s">
        <v>12</v>
      </c>
      <c r="F220">
        <v>-10.51</v>
      </c>
      <c r="G220">
        <v>0.85960000000000003</v>
      </c>
      <c r="H220">
        <v>6.3470000000000004</v>
      </c>
      <c r="I220">
        <v>5.4558812000000003</v>
      </c>
      <c r="K220" t="str">
        <f>INDEX([1]Sheet1!$A$1:$G$108, MATCH(B220,[1]Sheet1!$B:$B,0), 1)</f>
        <v>Chrysene</v>
      </c>
      <c r="L220" t="str">
        <f>INDEX([1]Sheet1!$A$1:$G$108, MATCH(B220,[1]Sheet1!$B:$B,0), 3)</f>
        <v>weak</v>
      </c>
      <c r="M220" t="s">
        <v>109</v>
      </c>
    </row>
    <row r="221" spans="1:13" x14ac:dyDescent="0.3">
      <c r="A221" t="s">
        <v>47</v>
      </c>
      <c r="B221" t="str">
        <f>_xlfn.TEXTBEFORE(_xlfn.TEXTAFTER(A221,"cas-"),"_")</f>
        <v>218-01-9</v>
      </c>
      <c r="C221" t="s">
        <v>10</v>
      </c>
      <c r="D221" t="s">
        <v>11</v>
      </c>
      <c r="E221" t="s">
        <v>12</v>
      </c>
      <c r="F221">
        <v>-9.7799999999999994</v>
      </c>
      <c r="G221">
        <v>0.88700000000000001</v>
      </c>
      <c r="H221">
        <v>6.2969999999999997</v>
      </c>
      <c r="I221">
        <v>5.585439</v>
      </c>
      <c r="K221" t="str">
        <f>INDEX([1]Sheet1!$A$1:$G$108, MATCH(B221,[1]Sheet1!$B:$B,0), 1)</f>
        <v>Chrysene</v>
      </c>
      <c r="L221" t="str">
        <f>INDEX([1]Sheet1!$A$1:$G$108, MATCH(B221,[1]Sheet1!$B:$B,0), 3)</f>
        <v>weak</v>
      </c>
      <c r="M221" t="s">
        <v>109</v>
      </c>
    </row>
    <row r="222" spans="1:13" x14ac:dyDescent="0.3">
      <c r="A222" t="s">
        <v>47</v>
      </c>
      <c r="B222" t="str">
        <f>_xlfn.TEXTBEFORE(_xlfn.TEXTAFTER(A222,"cas-"),"_")</f>
        <v>218-01-9</v>
      </c>
      <c r="C222" t="s">
        <v>21</v>
      </c>
      <c r="D222" t="s">
        <v>11</v>
      </c>
      <c r="E222" t="s">
        <v>12</v>
      </c>
      <c r="F222">
        <v>-9.86</v>
      </c>
      <c r="G222">
        <v>0.85029999999999994</v>
      </c>
      <c r="H222">
        <v>6.3040000000000003</v>
      </c>
      <c r="I222">
        <v>5.3602911999999998</v>
      </c>
      <c r="K222" t="str">
        <f>INDEX([1]Sheet1!$A$1:$G$108, MATCH(B222,[1]Sheet1!$B:$B,0), 1)</f>
        <v>Chrysene</v>
      </c>
      <c r="L222" t="str">
        <f>INDEX([1]Sheet1!$A$1:$G$108, MATCH(B222,[1]Sheet1!$B:$B,0), 3)</f>
        <v>weak</v>
      </c>
      <c r="M222" t="s">
        <v>109</v>
      </c>
    </row>
    <row r="223" spans="1:13" x14ac:dyDescent="0.3">
      <c r="A223" t="s">
        <v>48</v>
      </c>
      <c r="B223" t="str">
        <f>_xlfn.TEXTBEFORE(_xlfn.TEXTAFTER(A223,"cas-"),"_")</f>
        <v>243-17-4</v>
      </c>
      <c r="C223" t="s">
        <v>13</v>
      </c>
      <c r="D223" t="s">
        <v>14</v>
      </c>
      <c r="E223" t="s">
        <v>12</v>
      </c>
      <c r="F223">
        <v>-9.5</v>
      </c>
      <c r="G223">
        <v>0.9093</v>
      </c>
      <c r="H223">
        <v>6.3390000000000004</v>
      </c>
      <c r="I223">
        <v>5.7640527000000006</v>
      </c>
      <c r="K223" t="str">
        <f>INDEX([1]Sheet1!$A$1:$G$108, MATCH(B223,[1]Sheet1!$B:$B,0), 1)</f>
        <v>"2,3-Benzofluorene"</v>
      </c>
      <c r="L223" t="str">
        <f>INDEX([1]Sheet1!$A$1:$G$108, MATCH(B223,[1]Sheet1!$B:$B,0), 3)</f>
        <v>weak</v>
      </c>
      <c r="M223" t="s">
        <v>109</v>
      </c>
    </row>
    <row r="224" spans="1:13" x14ac:dyDescent="0.3">
      <c r="A224" t="s">
        <v>48</v>
      </c>
      <c r="B224" t="str">
        <f>_xlfn.TEXTBEFORE(_xlfn.TEXTAFTER(A224,"cas-"),"_")</f>
        <v>243-17-4</v>
      </c>
      <c r="C224" t="s">
        <v>18</v>
      </c>
      <c r="D224" t="s">
        <v>11</v>
      </c>
      <c r="E224" t="s">
        <v>12</v>
      </c>
      <c r="F224">
        <v>-9.3800000000000008</v>
      </c>
      <c r="G224">
        <v>0.87460000000000004</v>
      </c>
      <c r="H224">
        <v>6.1219999999999999</v>
      </c>
      <c r="I224">
        <v>5.3543012000000001</v>
      </c>
      <c r="K224" t="str">
        <f>INDEX([1]Sheet1!$A$1:$G$108, MATCH(B224,[1]Sheet1!$B:$B,0), 1)</f>
        <v>"2,3-Benzofluorene"</v>
      </c>
      <c r="L224" t="str">
        <f>INDEX([1]Sheet1!$A$1:$G$108, MATCH(B224,[1]Sheet1!$B:$B,0), 3)</f>
        <v>weak</v>
      </c>
      <c r="M224" t="s">
        <v>109</v>
      </c>
    </row>
    <row r="225" spans="1:13" x14ac:dyDescent="0.3">
      <c r="A225" t="s">
        <v>48</v>
      </c>
      <c r="B225" t="str">
        <f>_xlfn.TEXTBEFORE(_xlfn.TEXTAFTER(A225,"cas-"),"_")</f>
        <v>243-17-4</v>
      </c>
      <c r="C225" t="s">
        <v>28</v>
      </c>
      <c r="D225" t="s">
        <v>29</v>
      </c>
      <c r="E225" t="s">
        <v>12</v>
      </c>
      <c r="F225">
        <v>-8.75</v>
      </c>
      <c r="G225">
        <v>0.83430000000000004</v>
      </c>
      <c r="H225">
        <v>5.99</v>
      </c>
      <c r="I225">
        <v>4.9974570000000007</v>
      </c>
      <c r="K225" t="str">
        <f>INDEX([1]Sheet1!$A$1:$G$108, MATCH(B225,[1]Sheet1!$B:$B,0), 1)</f>
        <v>"2,3-Benzofluorene"</v>
      </c>
      <c r="L225" t="str">
        <f>INDEX([1]Sheet1!$A$1:$G$108, MATCH(B225,[1]Sheet1!$B:$B,0), 3)</f>
        <v>weak</v>
      </c>
      <c r="M225" t="s">
        <v>109</v>
      </c>
    </row>
    <row r="226" spans="1:13" x14ac:dyDescent="0.3">
      <c r="A226" t="s">
        <v>48</v>
      </c>
      <c r="B226" t="str">
        <f>_xlfn.TEXTBEFORE(_xlfn.TEXTAFTER(A226,"cas-"),"_")</f>
        <v>243-17-4</v>
      </c>
      <c r="C226" t="s">
        <v>10</v>
      </c>
      <c r="D226" t="s">
        <v>11</v>
      </c>
      <c r="E226" t="s">
        <v>12</v>
      </c>
      <c r="F226">
        <v>-9.35</v>
      </c>
      <c r="G226">
        <v>0.87029999999999996</v>
      </c>
      <c r="H226">
        <v>6.2039999999999997</v>
      </c>
      <c r="I226">
        <v>5.3993411999999994</v>
      </c>
      <c r="K226" t="str">
        <f>INDEX([1]Sheet1!$A$1:$G$108, MATCH(B226,[1]Sheet1!$B:$B,0), 1)</f>
        <v>"2,3-Benzofluorene"</v>
      </c>
      <c r="L226" t="str">
        <f>INDEX([1]Sheet1!$A$1:$G$108, MATCH(B226,[1]Sheet1!$B:$B,0), 3)</f>
        <v>weak</v>
      </c>
      <c r="M226" t="s">
        <v>109</v>
      </c>
    </row>
    <row r="227" spans="1:13" x14ac:dyDescent="0.3">
      <c r="A227" t="s">
        <v>48</v>
      </c>
      <c r="B227" t="str">
        <f>_xlfn.TEXTBEFORE(_xlfn.TEXTAFTER(A227,"cas-"),"_")</f>
        <v>243-17-4</v>
      </c>
      <c r="C227" t="s">
        <v>24</v>
      </c>
      <c r="D227" t="s">
        <v>25</v>
      </c>
      <c r="E227" t="s">
        <v>12</v>
      </c>
      <c r="F227">
        <v>-9.06</v>
      </c>
      <c r="G227">
        <v>0.85880000000000001</v>
      </c>
      <c r="H227">
        <v>6.1319999999999997</v>
      </c>
      <c r="I227">
        <v>5.2661615999999993</v>
      </c>
      <c r="K227" t="str">
        <f>INDEX([1]Sheet1!$A$1:$G$108, MATCH(B227,[1]Sheet1!$B:$B,0), 1)</f>
        <v>"2,3-Benzofluorene"</v>
      </c>
      <c r="L227" t="str">
        <f>INDEX([1]Sheet1!$A$1:$G$108, MATCH(B227,[1]Sheet1!$B:$B,0), 3)</f>
        <v>weak</v>
      </c>
      <c r="M227" t="s">
        <v>109</v>
      </c>
    </row>
    <row r="228" spans="1:13" x14ac:dyDescent="0.3">
      <c r="A228" t="s">
        <v>48</v>
      </c>
      <c r="B228" t="str">
        <f>_xlfn.TEXTBEFORE(_xlfn.TEXTAFTER(A228,"cas-"),"_")</f>
        <v>243-17-4</v>
      </c>
      <c r="C228" t="s">
        <v>30</v>
      </c>
      <c r="D228" t="s">
        <v>31</v>
      </c>
      <c r="E228" t="s">
        <v>12</v>
      </c>
      <c r="F228">
        <v>-7.81</v>
      </c>
      <c r="G228">
        <v>0.79749999999999999</v>
      </c>
      <c r="H228">
        <v>5.992</v>
      </c>
      <c r="I228">
        <v>4.7786200000000001</v>
      </c>
      <c r="K228" t="str">
        <f>INDEX([1]Sheet1!$A$1:$G$108, MATCH(B228,[1]Sheet1!$B:$B,0), 1)</f>
        <v>"2,3-Benzofluorene"</v>
      </c>
      <c r="L228" t="str">
        <f>INDEX([1]Sheet1!$A$1:$G$108, MATCH(B228,[1]Sheet1!$B:$B,0), 3)</f>
        <v>weak</v>
      </c>
      <c r="M228" t="s">
        <v>109</v>
      </c>
    </row>
    <row r="229" spans="1:13" x14ac:dyDescent="0.3">
      <c r="A229" t="s">
        <v>48</v>
      </c>
      <c r="B229" t="str">
        <f>_xlfn.TEXTBEFORE(_xlfn.TEXTAFTER(A229,"cas-"),"_")</f>
        <v>243-17-4</v>
      </c>
      <c r="C229" t="s">
        <v>21</v>
      </c>
      <c r="D229" t="s">
        <v>11</v>
      </c>
      <c r="E229" t="s">
        <v>12</v>
      </c>
      <c r="F229">
        <v>-9.4</v>
      </c>
      <c r="G229">
        <v>0.84289999999999998</v>
      </c>
      <c r="H229">
        <v>6.0609999999999999</v>
      </c>
      <c r="I229">
        <v>5.1088168999999999</v>
      </c>
      <c r="K229" t="str">
        <f>INDEX([1]Sheet1!$A$1:$G$108, MATCH(B229,[1]Sheet1!$B:$B,0), 1)</f>
        <v>"2,3-Benzofluorene"</v>
      </c>
      <c r="L229" t="str">
        <f>INDEX([1]Sheet1!$A$1:$G$108, MATCH(B229,[1]Sheet1!$B:$B,0), 3)</f>
        <v>weak</v>
      </c>
      <c r="M229" t="s">
        <v>109</v>
      </c>
    </row>
    <row r="230" spans="1:13" x14ac:dyDescent="0.3">
      <c r="A230" t="s">
        <v>48</v>
      </c>
      <c r="B230" t="str">
        <f>_xlfn.TEXTBEFORE(_xlfn.TEXTAFTER(A230,"cas-"),"_")</f>
        <v>243-17-4</v>
      </c>
      <c r="C230" t="s">
        <v>17</v>
      </c>
      <c r="D230" t="s">
        <v>11</v>
      </c>
      <c r="E230" t="s">
        <v>12</v>
      </c>
      <c r="F230">
        <v>-8.93</v>
      </c>
      <c r="G230">
        <v>0.84530000000000005</v>
      </c>
      <c r="H230">
        <v>6.1829999999999998</v>
      </c>
      <c r="I230">
        <v>5.2264898999999998</v>
      </c>
      <c r="K230" t="str">
        <f>INDEX([1]Sheet1!$A$1:$G$108, MATCH(B230,[1]Sheet1!$B:$B,0), 1)</f>
        <v>"2,3-Benzofluorene"</v>
      </c>
      <c r="L230" t="str">
        <f>INDEX([1]Sheet1!$A$1:$G$108, MATCH(B230,[1]Sheet1!$B:$B,0), 3)</f>
        <v>weak</v>
      </c>
      <c r="M230" t="s">
        <v>109</v>
      </c>
    </row>
    <row r="231" spans="1:13" x14ac:dyDescent="0.3">
      <c r="A231" t="s">
        <v>48</v>
      </c>
      <c r="B231" t="str">
        <f>_xlfn.TEXTBEFORE(_xlfn.TEXTAFTER(A231,"cas-"),"_")</f>
        <v>243-17-4</v>
      </c>
      <c r="C231" t="s">
        <v>22</v>
      </c>
      <c r="D231" t="s">
        <v>23</v>
      </c>
      <c r="E231" t="s">
        <v>12</v>
      </c>
      <c r="F231">
        <v>-9.15</v>
      </c>
      <c r="G231">
        <v>0.81910000000000005</v>
      </c>
      <c r="H231">
        <v>6.0039999999999996</v>
      </c>
      <c r="I231">
        <v>4.9178763999999999</v>
      </c>
      <c r="K231" t="str">
        <f>INDEX([1]Sheet1!$A$1:$G$108, MATCH(B231,[1]Sheet1!$B:$B,0), 1)</f>
        <v>"2,3-Benzofluorene"</v>
      </c>
      <c r="L231" t="str">
        <f>INDEX([1]Sheet1!$A$1:$G$108, MATCH(B231,[1]Sheet1!$B:$B,0), 3)</f>
        <v>weak</v>
      </c>
      <c r="M231" t="s">
        <v>109</v>
      </c>
    </row>
    <row r="232" spans="1:13" x14ac:dyDescent="0.3">
      <c r="A232" t="s">
        <v>48</v>
      </c>
      <c r="B232" t="str">
        <f>_xlfn.TEXTBEFORE(_xlfn.TEXTAFTER(A232,"cas-"),"_")</f>
        <v>243-17-4</v>
      </c>
      <c r="C232" t="s">
        <v>27</v>
      </c>
      <c r="D232" t="s">
        <v>11</v>
      </c>
      <c r="E232" t="s">
        <v>12</v>
      </c>
      <c r="F232">
        <v>-10.039999999999999</v>
      </c>
      <c r="G232">
        <v>0.84130000000000005</v>
      </c>
      <c r="H232">
        <v>6.2839999999999998</v>
      </c>
      <c r="I232">
        <v>5.2867291999999999</v>
      </c>
      <c r="K232" t="str">
        <f>INDEX([1]Sheet1!$A$1:$G$108, MATCH(B232,[1]Sheet1!$B:$B,0), 1)</f>
        <v>"2,3-Benzofluorene"</v>
      </c>
      <c r="L232" t="str">
        <f>INDEX([1]Sheet1!$A$1:$G$108, MATCH(B232,[1]Sheet1!$B:$B,0), 3)</f>
        <v>weak</v>
      </c>
      <c r="M232" t="s">
        <v>109</v>
      </c>
    </row>
    <row r="233" spans="1:13" x14ac:dyDescent="0.3">
      <c r="A233" t="s">
        <v>48</v>
      </c>
      <c r="B233" t="str">
        <f>_xlfn.TEXTBEFORE(_xlfn.TEXTAFTER(A233,"cas-"),"_")</f>
        <v>243-17-4</v>
      </c>
      <c r="C233" t="s">
        <v>26</v>
      </c>
      <c r="D233" t="s">
        <v>14</v>
      </c>
      <c r="E233" t="s">
        <v>12</v>
      </c>
      <c r="F233">
        <v>-9.57</v>
      </c>
      <c r="G233">
        <v>0.89810000000000001</v>
      </c>
      <c r="H233">
        <v>6.1689999999999996</v>
      </c>
      <c r="I233">
        <v>5.5403788999999994</v>
      </c>
      <c r="K233" t="str">
        <f>INDEX([1]Sheet1!$A$1:$G$108, MATCH(B233,[1]Sheet1!$B:$B,0), 1)</f>
        <v>"2,3-Benzofluorene"</v>
      </c>
      <c r="L233" t="str">
        <f>INDEX([1]Sheet1!$A$1:$G$108, MATCH(B233,[1]Sheet1!$B:$B,0), 3)</f>
        <v>weak</v>
      </c>
      <c r="M233" t="s">
        <v>109</v>
      </c>
    </row>
    <row r="234" spans="1:13" x14ac:dyDescent="0.3">
      <c r="A234" t="s">
        <v>48</v>
      </c>
      <c r="B234" t="str">
        <f>_xlfn.TEXTBEFORE(_xlfn.TEXTAFTER(A234,"cas-"),"_")</f>
        <v>243-17-4</v>
      </c>
      <c r="C234" t="s">
        <v>15</v>
      </c>
      <c r="D234" t="s">
        <v>16</v>
      </c>
      <c r="E234" t="s">
        <v>12</v>
      </c>
      <c r="F234">
        <v>-9.32</v>
      </c>
      <c r="G234">
        <v>0.82730000000000004</v>
      </c>
      <c r="H234">
        <v>5.8380000000000001</v>
      </c>
      <c r="I234">
        <v>4.8297774000000002</v>
      </c>
      <c r="K234" t="str">
        <f>INDEX([1]Sheet1!$A$1:$G$108, MATCH(B234,[1]Sheet1!$B:$B,0), 1)</f>
        <v>"2,3-Benzofluorene"</v>
      </c>
      <c r="L234" t="str">
        <f>INDEX([1]Sheet1!$A$1:$G$108, MATCH(B234,[1]Sheet1!$B:$B,0), 3)</f>
        <v>weak</v>
      </c>
      <c r="M234" t="s">
        <v>109</v>
      </c>
    </row>
    <row r="235" spans="1:13" x14ac:dyDescent="0.3">
      <c r="A235" t="s">
        <v>48</v>
      </c>
      <c r="B235" t="str">
        <f>_xlfn.TEXTBEFORE(_xlfn.TEXTAFTER(A235,"cas-"),"_")</f>
        <v>243-17-4</v>
      </c>
      <c r="C235" t="s">
        <v>19</v>
      </c>
      <c r="D235" t="s">
        <v>20</v>
      </c>
      <c r="E235" t="s">
        <v>12</v>
      </c>
      <c r="F235">
        <v>-9.4600000000000009</v>
      </c>
      <c r="G235">
        <v>0.88109999999999999</v>
      </c>
      <c r="H235">
        <v>6.016</v>
      </c>
      <c r="I235">
        <v>5.3006976000000003</v>
      </c>
      <c r="K235" t="str">
        <f>INDEX([1]Sheet1!$A$1:$G$108, MATCH(B235,[1]Sheet1!$B:$B,0), 1)</f>
        <v>"2,3-Benzofluorene"</v>
      </c>
      <c r="L235" t="str">
        <f>INDEX([1]Sheet1!$A$1:$G$108, MATCH(B235,[1]Sheet1!$B:$B,0), 3)</f>
        <v>weak</v>
      </c>
      <c r="M235" t="s">
        <v>109</v>
      </c>
    </row>
    <row r="236" spans="1:13" x14ac:dyDescent="0.3">
      <c r="A236" t="s">
        <v>49</v>
      </c>
      <c r="B236" t="str">
        <f>_xlfn.TEXTBEFORE(_xlfn.TEXTAFTER(A236,"cas-"),"_")</f>
        <v>25154-52-3</v>
      </c>
      <c r="C236" t="s">
        <v>19</v>
      </c>
      <c r="D236" t="s">
        <v>20</v>
      </c>
      <c r="E236" t="s">
        <v>12</v>
      </c>
      <c r="F236">
        <v>-6.74</v>
      </c>
      <c r="G236">
        <v>0.81559999999999999</v>
      </c>
      <c r="H236">
        <v>6.5439999999999996</v>
      </c>
      <c r="I236">
        <v>5.3372864</v>
      </c>
      <c r="K236" t="str">
        <f>INDEX([1]Sheet1!$A$1:$G$108, MATCH(B236,[1]Sheet1!$B:$B,0), 1)</f>
        <v>Nonylphenol</v>
      </c>
      <c r="L236" t="str">
        <f>INDEX([1]Sheet1!$A$1:$G$108, MATCH(B236,[1]Sheet1!$B:$B,0), 3)</f>
        <v>moderate</v>
      </c>
      <c r="M236" t="s">
        <v>109</v>
      </c>
    </row>
    <row r="237" spans="1:13" x14ac:dyDescent="0.3">
      <c r="A237" t="s">
        <v>49</v>
      </c>
      <c r="B237" t="str">
        <f>_xlfn.TEXTBEFORE(_xlfn.TEXTAFTER(A237,"cas-"),"_")</f>
        <v>25154-52-3</v>
      </c>
      <c r="C237" t="s">
        <v>22</v>
      </c>
      <c r="D237" t="s">
        <v>23</v>
      </c>
      <c r="E237" t="s">
        <v>12</v>
      </c>
      <c r="F237">
        <v>-6.94</v>
      </c>
      <c r="G237">
        <v>0.81859999999999999</v>
      </c>
      <c r="H237">
        <v>6.516</v>
      </c>
      <c r="I237">
        <v>5.3339976</v>
      </c>
      <c r="K237" t="str">
        <f>INDEX([1]Sheet1!$A$1:$G$108, MATCH(B237,[1]Sheet1!$B:$B,0), 1)</f>
        <v>Nonylphenol</v>
      </c>
      <c r="L237" t="str">
        <f>INDEX([1]Sheet1!$A$1:$G$108, MATCH(B237,[1]Sheet1!$B:$B,0), 3)</f>
        <v>moderate</v>
      </c>
      <c r="M237" t="s">
        <v>109</v>
      </c>
    </row>
    <row r="238" spans="1:13" x14ac:dyDescent="0.3">
      <c r="A238" t="s">
        <v>49</v>
      </c>
      <c r="B238" t="str">
        <f>_xlfn.TEXTBEFORE(_xlfn.TEXTAFTER(A238,"cas-"),"_")</f>
        <v>25154-52-3</v>
      </c>
      <c r="C238" t="s">
        <v>15</v>
      </c>
      <c r="D238" t="s">
        <v>16</v>
      </c>
      <c r="E238" t="s">
        <v>12</v>
      </c>
      <c r="F238">
        <v>-6.62</v>
      </c>
      <c r="G238">
        <v>0.8246</v>
      </c>
      <c r="H238">
        <v>6.5910000000000002</v>
      </c>
      <c r="I238">
        <v>5.4349385999999997</v>
      </c>
      <c r="K238" t="str">
        <f>INDEX([1]Sheet1!$A$1:$G$108, MATCH(B238,[1]Sheet1!$B:$B,0), 1)</f>
        <v>Nonylphenol</v>
      </c>
      <c r="L238" t="str">
        <f>INDEX([1]Sheet1!$A$1:$G$108, MATCH(B238,[1]Sheet1!$B:$B,0), 3)</f>
        <v>moderate</v>
      </c>
      <c r="M238" t="s">
        <v>109</v>
      </c>
    </row>
    <row r="239" spans="1:13" x14ac:dyDescent="0.3">
      <c r="A239" t="s">
        <v>49</v>
      </c>
      <c r="B239" t="str">
        <f>_xlfn.TEXTBEFORE(_xlfn.TEXTAFTER(A239,"cas-"),"_")</f>
        <v>25154-52-3</v>
      </c>
      <c r="C239" t="s">
        <v>27</v>
      </c>
      <c r="D239" t="s">
        <v>11</v>
      </c>
      <c r="E239" t="s">
        <v>12</v>
      </c>
      <c r="F239">
        <v>-7.15</v>
      </c>
      <c r="G239">
        <v>0.79200000000000004</v>
      </c>
      <c r="H239">
        <v>6.9980000000000002</v>
      </c>
      <c r="I239">
        <v>5.5424160000000002</v>
      </c>
      <c r="K239" t="str">
        <f>INDEX([1]Sheet1!$A$1:$G$108, MATCH(B239,[1]Sheet1!$B:$B,0), 1)</f>
        <v>Nonylphenol</v>
      </c>
      <c r="L239" t="str">
        <f>INDEX([1]Sheet1!$A$1:$G$108, MATCH(B239,[1]Sheet1!$B:$B,0), 3)</f>
        <v>moderate</v>
      </c>
      <c r="M239" t="s">
        <v>109</v>
      </c>
    </row>
    <row r="240" spans="1:13" x14ac:dyDescent="0.3">
      <c r="A240" t="s">
        <v>49</v>
      </c>
      <c r="B240" t="str">
        <f>_xlfn.TEXTBEFORE(_xlfn.TEXTAFTER(A240,"cas-"),"_")</f>
        <v>25154-52-3</v>
      </c>
      <c r="C240" t="s">
        <v>17</v>
      </c>
      <c r="D240" t="s">
        <v>11</v>
      </c>
      <c r="E240" t="s">
        <v>12</v>
      </c>
      <c r="F240">
        <v>-6.38</v>
      </c>
      <c r="G240">
        <v>0.81359999999999999</v>
      </c>
      <c r="H240">
        <v>7.016</v>
      </c>
      <c r="I240">
        <v>5.7082176000000002</v>
      </c>
      <c r="K240" t="str">
        <f>INDEX([1]Sheet1!$A$1:$G$108, MATCH(B240,[1]Sheet1!$B:$B,0), 1)</f>
        <v>Nonylphenol</v>
      </c>
      <c r="L240" t="str">
        <f>INDEX([1]Sheet1!$A$1:$G$108, MATCH(B240,[1]Sheet1!$B:$B,0), 3)</f>
        <v>moderate</v>
      </c>
      <c r="M240" t="s">
        <v>109</v>
      </c>
    </row>
    <row r="241" spans="1:13" x14ac:dyDescent="0.3">
      <c r="A241" t="s">
        <v>49</v>
      </c>
      <c r="B241" t="str">
        <f>_xlfn.TEXTBEFORE(_xlfn.TEXTAFTER(A241,"cas-"),"_")</f>
        <v>25154-52-3</v>
      </c>
      <c r="C241" t="s">
        <v>30</v>
      </c>
      <c r="D241" t="s">
        <v>31</v>
      </c>
      <c r="E241" t="s">
        <v>12</v>
      </c>
      <c r="F241">
        <v>-6.11</v>
      </c>
      <c r="G241">
        <v>0.75519999999999998</v>
      </c>
      <c r="H241">
        <v>6.7480000000000002</v>
      </c>
      <c r="I241">
        <v>5.0960896</v>
      </c>
      <c r="K241" t="str">
        <f>INDEX([1]Sheet1!$A$1:$G$108, MATCH(B241,[1]Sheet1!$B:$B,0), 1)</f>
        <v>Nonylphenol</v>
      </c>
      <c r="L241" t="str">
        <f>INDEX([1]Sheet1!$A$1:$G$108, MATCH(B241,[1]Sheet1!$B:$B,0), 3)</f>
        <v>moderate</v>
      </c>
      <c r="M241" t="s">
        <v>109</v>
      </c>
    </row>
    <row r="242" spans="1:13" x14ac:dyDescent="0.3">
      <c r="A242" t="s">
        <v>49</v>
      </c>
      <c r="B242" t="str">
        <f>_xlfn.TEXTBEFORE(_xlfn.TEXTAFTER(A242,"cas-"),"_")</f>
        <v>25154-52-3</v>
      </c>
      <c r="C242" t="s">
        <v>10</v>
      </c>
      <c r="D242" t="s">
        <v>11</v>
      </c>
      <c r="E242" t="s">
        <v>12</v>
      </c>
      <c r="F242">
        <v>-6.43</v>
      </c>
      <c r="G242">
        <v>0.80289999999999995</v>
      </c>
      <c r="H242">
        <v>6.7270000000000003</v>
      </c>
      <c r="I242">
        <v>5.4011082999999998</v>
      </c>
      <c r="K242" t="str">
        <f>INDEX([1]Sheet1!$A$1:$G$108, MATCH(B242,[1]Sheet1!$B:$B,0), 1)</f>
        <v>Nonylphenol</v>
      </c>
      <c r="L242" t="str">
        <f>INDEX([1]Sheet1!$A$1:$G$108, MATCH(B242,[1]Sheet1!$B:$B,0), 3)</f>
        <v>moderate</v>
      </c>
      <c r="M242" t="s">
        <v>109</v>
      </c>
    </row>
    <row r="243" spans="1:13" x14ac:dyDescent="0.3">
      <c r="A243" t="s">
        <v>49</v>
      </c>
      <c r="B243" t="str">
        <f>_xlfn.TEXTBEFORE(_xlfn.TEXTAFTER(A243,"cas-"),"_")</f>
        <v>25154-52-3</v>
      </c>
      <c r="C243" t="s">
        <v>24</v>
      </c>
      <c r="D243" t="s">
        <v>25</v>
      </c>
      <c r="E243" t="s">
        <v>12</v>
      </c>
      <c r="F243">
        <v>-6.61</v>
      </c>
      <c r="G243">
        <v>0.82820000000000005</v>
      </c>
      <c r="H243">
        <v>7.1050000000000004</v>
      </c>
      <c r="I243">
        <v>5.8843610000000011</v>
      </c>
      <c r="K243" t="str">
        <f>INDEX([1]Sheet1!$A$1:$G$108, MATCH(B243,[1]Sheet1!$B:$B,0), 1)</f>
        <v>Nonylphenol</v>
      </c>
      <c r="L243" t="str">
        <f>INDEX([1]Sheet1!$A$1:$G$108, MATCH(B243,[1]Sheet1!$B:$B,0), 3)</f>
        <v>moderate</v>
      </c>
      <c r="M243" t="s">
        <v>109</v>
      </c>
    </row>
    <row r="244" spans="1:13" x14ac:dyDescent="0.3">
      <c r="A244" t="s">
        <v>49</v>
      </c>
      <c r="B244" t="str">
        <f>_xlfn.TEXTBEFORE(_xlfn.TEXTAFTER(A244,"cas-"),"_")</f>
        <v>25154-52-3</v>
      </c>
      <c r="C244" t="s">
        <v>18</v>
      </c>
      <c r="D244" t="s">
        <v>11</v>
      </c>
      <c r="E244" t="s">
        <v>12</v>
      </c>
      <c r="F244">
        <v>-6.8</v>
      </c>
      <c r="G244">
        <v>0.77400000000000002</v>
      </c>
      <c r="H244">
        <v>7.0540000000000003</v>
      </c>
      <c r="I244">
        <v>5.4597960000000008</v>
      </c>
      <c r="K244" t="str">
        <f>INDEX([1]Sheet1!$A$1:$G$108, MATCH(B244,[1]Sheet1!$B:$B,0), 1)</f>
        <v>Nonylphenol</v>
      </c>
      <c r="L244" t="str">
        <f>INDEX([1]Sheet1!$A$1:$G$108, MATCH(B244,[1]Sheet1!$B:$B,0), 3)</f>
        <v>moderate</v>
      </c>
      <c r="M244" t="s">
        <v>109</v>
      </c>
    </row>
    <row r="245" spans="1:13" x14ac:dyDescent="0.3">
      <c r="A245" t="s">
        <v>49</v>
      </c>
      <c r="B245" t="str">
        <f>_xlfn.TEXTBEFORE(_xlfn.TEXTAFTER(A245,"cas-"),"_")</f>
        <v>25154-52-3</v>
      </c>
      <c r="C245" t="s">
        <v>28</v>
      </c>
      <c r="D245" t="s">
        <v>29</v>
      </c>
      <c r="E245" t="s">
        <v>12</v>
      </c>
      <c r="F245">
        <v>-6.31</v>
      </c>
      <c r="G245">
        <v>0.64870000000000005</v>
      </c>
      <c r="H245">
        <v>6.6550000000000002</v>
      </c>
      <c r="I245">
        <v>4.3170985000000002</v>
      </c>
      <c r="K245" t="str">
        <f>INDEX([1]Sheet1!$A$1:$G$108, MATCH(B245,[1]Sheet1!$B:$B,0), 1)</f>
        <v>Nonylphenol</v>
      </c>
      <c r="L245" t="str">
        <f>INDEX([1]Sheet1!$A$1:$G$108, MATCH(B245,[1]Sheet1!$B:$B,0), 3)</f>
        <v>moderate</v>
      </c>
      <c r="M245" t="s">
        <v>109</v>
      </c>
    </row>
    <row r="246" spans="1:13" x14ac:dyDescent="0.3">
      <c r="A246" t="s">
        <v>49</v>
      </c>
      <c r="B246" t="str">
        <f>_xlfn.TEXTBEFORE(_xlfn.TEXTAFTER(A246,"cas-"),"_")</f>
        <v>25154-52-3</v>
      </c>
      <c r="C246" t="s">
        <v>13</v>
      </c>
      <c r="D246" t="s">
        <v>14</v>
      </c>
      <c r="E246" t="s">
        <v>12</v>
      </c>
      <c r="F246">
        <v>-6.89</v>
      </c>
      <c r="G246">
        <v>0.76370000000000005</v>
      </c>
      <c r="H246">
        <v>7.0659999999999998</v>
      </c>
      <c r="I246">
        <v>5.3963042000000003</v>
      </c>
      <c r="K246" t="str">
        <f>INDEX([1]Sheet1!$A$1:$G$108, MATCH(B246,[1]Sheet1!$B:$B,0), 1)</f>
        <v>Nonylphenol</v>
      </c>
      <c r="L246" t="str">
        <f>INDEX([1]Sheet1!$A$1:$G$108, MATCH(B246,[1]Sheet1!$B:$B,0), 3)</f>
        <v>moderate</v>
      </c>
      <c r="M246" t="s">
        <v>109</v>
      </c>
    </row>
    <row r="247" spans="1:13" x14ac:dyDescent="0.3">
      <c r="A247" t="s">
        <v>49</v>
      </c>
      <c r="B247" t="str">
        <f>_xlfn.TEXTBEFORE(_xlfn.TEXTAFTER(A247,"cas-"),"_")</f>
        <v>25154-52-3</v>
      </c>
      <c r="C247" t="s">
        <v>26</v>
      </c>
      <c r="D247" t="s">
        <v>14</v>
      </c>
      <c r="E247" t="s">
        <v>12</v>
      </c>
      <c r="F247">
        <v>-6.91</v>
      </c>
      <c r="G247">
        <v>0.61880000000000002</v>
      </c>
      <c r="H247">
        <v>6.548</v>
      </c>
      <c r="I247">
        <v>4.0519024000000003</v>
      </c>
      <c r="K247" t="str">
        <f>INDEX([1]Sheet1!$A$1:$G$108, MATCH(B247,[1]Sheet1!$B:$B,0), 1)</f>
        <v>Nonylphenol</v>
      </c>
      <c r="L247" t="str">
        <f>INDEX([1]Sheet1!$A$1:$G$108, MATCH(B247,[1]Sheet1!$B:$B,0), 3)</f>
        <v>moderate</v>
      </c>
      <c r="M247" t="s">
        <v>109</v>
      </c>
    </row>
    <row r="248" spans="1:13" x14ac:dyDescent="0.3">
      <c r="A248" t="s">
        <v>49</v>
      </c>
      <c r="B248" t="str">
        <f>_xlfn.TEXTBEFORE(_xlfn.TEXTAFTER(A248,"cas-"),"_")</f>
        <v>25154-52-3</v>
      </c>
      <c r="C248" t="s">
        <v>21</v>
      </c>
      <c r="D248" t="s">
        <v>11</v>
      </c>
      <c r="E248" t="s">
        <v>12</v>
      </c>
      <c r="F248">
        <v>-6.3</v>
      </c>
      <c r="G248">
        <v>0.76729999999999998</v>
      </c>
      <c r="H248">
        <v>6.6509999999999998</v>
      </c>
      <c r="I248">
        <v>5.1033122999999998</v>
      </c>
      <c r="K248" t="str">
        <f>INDEX([1]Sheet1!$A$1:$G$108, MATCH(B248,[1]Sheet1!$B:$B,0), 1)</f>
        <v>Nonylphenol</v>
      </c>
      <c r="L248" t="str">
        <f>INDEX([1]Sheet1!$A$1:$G$108, MATCH(B248,[1]Sheet1!$B:$B,0), 3)</f>
        <v>moderate</v>
      </c>
      <c r="M248" t="s">
        <v>109</v>
      </c>
    </row>
    <row r="249" spans="1:13" x14ac:dyDescent="0.3">
      <c r="A249" t="s">
        <v>50</v>
      </c>
      <c r="B249" t="str">
        <f>_xlfn.TEXTBEFORE(_xlfn.TEXTAFTER(A249,"cas-"),"_")</f>
        <v>2529-64-8</v>
      </c>
      <c r="C249" t="s">
        <v>18</v>
      </c>
      <c r="D249" t="s">
        <v>11</v>
      </c>
      <c r="E249" t="s">
        <v>12</v>
      </c>
      <c r="F249">
        <v>-10.73</v>
      </c>
      <c r="G249">
        <v>0.94520000000000004</v>
      </c>
      <c r="H249">
        <v>7.5110000000000001</v>
      </c>
      <c r="I249">
        <v>7.0993972000000003</v>
      </c>
      <c r="K249" t="str">
        <f>INDEX([1]Sheet1!$A$1:$G$108, MATCH(B249,[1]Sheet1!$B:$B,0), 1)</f>
        <v>3-Deoxyestradiol</v>
      </c>
      <c r="L249" t="str">
        <f>INDEX([1]Sheet1!$A$1:$G$108, MATCH(B249,[1]Sheet1!$B:$B,0), 3)</f>
        <v>moderate</v>
      </c>
      <c r="M249" t="s">
        <v>109</v>
      </c>
    </row>
    <row r="250" spans="1:13" x14ac:dyDescent="0.3">
      <c r="A250" t="s">
        <v>50</v>
      </c>
      <c r="B250" t="str">
        <f>_xlfn.TEXTBEFORE(_xlfn.TEXTAFTER(A250,"cas-"),"_")</f>
        <v>2529-64-8</v>
      </c>
      <c r="C250" t="s">
        <v>30</v>
      </c>
      <c r="D250" t="s">
        <v>31</v>
      </c>
      <c r="E250" t="s">
        <v>12</v>
      </c>
      <c r="F250">
        <v>-9.3800000000000008</v>
      </c>
      <c r="G250">
        <v>0.68230000000000002</v>
      </c>
      <c r="H250">
        <v>7.0369999999999999</v>
      </c>
      <c r="I250">
        <v>4.8013450999999998</v>
      </c>
      <c r="K250" t="str">
        <f>INDEX([1]Sheet1!$A$1:$G$108, MATCH(B250,[1]Sheet1!$B:$B,0), 1)</f>
        <v>3-Deoxyestradiol</v>
      </c>
      <c r="L250" t="str">
        <f>INDEX([1]Sheet1!$A$1:$G$108, MATCH(B250,[1]Sheet1!$B:$B,0), 3)</f>
        <v>moderate</v>
      </c>
      <c r="M250" t="s">
        <v>109</v>
      </c>
    </row>
    <row r="251" spans="1:13" x14ac:dyDescent="0.3">
      <c r="A251" t="s">
        <v>50</v>
      </c>
      <c r="B251" t="str">
        <f>_xlfn.TEXTBEFORE(_xlfn.TEXTAFTER(A251,"cas-"),"_")</f>
        <v>2529-64-8</v>
      </c>
      <c r="C251" t="s">
        <v>10</v>
      </c>
      <c r="D251" t="s">
        <v>11</v>
      </c>
      <c r="E251" t="s">
        <v>12</v>
      </c>
      <c r="F251">
        <v>-10.72</v>
      </c>
      <c r="G251">
        <v>0.95679999999999998</v>
      </c>
      <c r="H251">
        <v>7.4619999999999997</v>
      </c>
      <c r="I251">
        <v>7.1396416</v>
      </c>
      <c r="K251" t="str">
        <f>INDEX([1]Sheet1!$A$1:$G$108, MATCH(B251,[1]Sheet1!$B:$B,0), 1)</f>
        <v>3-Deoxyestradiol</v>
      </c>
      <c r="L251" t="str">
        <f>INDEX([1]Sheet1!$A$1:$G$108, MATCH(B251,[1]Sheet1!$B:$B,0), 3)</f>
        <v>moderate</v>
      </c>
      <c r="M251" t="s">
        <v>109</v>
      </c>
    </row>
    <row r="252" spans="1:13" x14ac:dyDescent="0.3">
      <c r="A252" t="s">
        <v>50</v>
      </c>
      <c r="B252" t="str">
        <f>_xlfn.TEXTBEFORE(_xlfn.TEXTAFTER(A252,"cas-"),"_")</f>
        <v>2529-64-8</v>
      </c>
      <c r="C252" t="s">
        <v>21</v>
      </c>
      <c r="D252" t="s">
        <v>11</v>
      </c>
      <c r="E252" t="s">
        <v>12</v>
      </c>
      <c r="F252">
        <v>-10.85</v>
      </c>
      <c r="G252">
        <v>0.93659999999999999</v>
      </c>
      <c r="H252">
        <v>7.4560000000000004</v>
      </c>
      <c r="I252">
        <v>6.9832896</v>
      </c>
      <c r="K252" t="str">
        <f>INDEX([1]Sheet1!$A$1:$G$108, MATCH(B252,[1]Sheet1!$B:$B,0), 1)</f>
        <v>3-Deoxyestradiol</v>
      </c>
      <c r="L252" t="str">
        <f>INDEX([1]Sheet1!$A$1:$G$108, MATCH(B252,[1]Sheet1!$B:$B,0), 3)</f>
        <v>moderate</v>
      </c>
      <c r="M252" t="s">
        <v>109</v>
      </c>
    </row>
    <row r="253" spans="1:13" x14ac:dyDescent="0.3">
      <c r="A253" t="s">
        <v>50</v>
      </c>
      <c r="B253" t="str">
        <f>_xlfn.TEXTBEFORE(_xlfn.TEXTAFTER(A253,"cas-"),"_")</f>
        <v>2529-64-8</v>
      </c>
      <c r="C253" t="s">
        <v>15</v>
      </c>
      <c r="D253" t="s">
        <v>16</v>
      </c>
      <c r="E253" t="s">
        <v>12</v>
      </c>
      <c r="F253">
        <v>-10.6</v>
      </c>
      <c r="G253">
        <v>0.94389999999999996</v>
      </c>
      <c r="H253">
        <v>7.3710000000000004</v>
      </c>
      <c r="I253">
        <v>6.9574869000000001</v>
      </c>
      <c r="K253" t="str">
        <f>INDEX([1]Sheet1!$A$1:$G$108, MATCH(B253,[1]Sheet1!$B:$B,0), 1)</f>
        <v>3-Deoxyestradiol</v>
      </c>
      <c r="L253" t="str">
        <f>INDEX([1]Sheet1!$A$1:$G$108, MATCH(B253,[1]Sheet1!$B:$B,0), 3)</f>
        <v>moderate</v>
      </c>
      <c r="M253" t="s">
        <v>109</v>
      </c>
    </row>
    <row r="254" spans="1:13" x14ac:dyDescent="0.3">
      <c r="A254" t="s">
        <v>50</v>
      </c>
      <c r="B254" t="str">
        <f>_xlfn.TEXTBEFORE(_xlfn.TEXTAFTER(A254,"cas-"),"_")</f>
        <v>2529-64-8</v>
      </c>
      <c r="C254" t="s">
        <v>26</v>
      </c>
      <c r="D254" t="s">
        <v>14</v>
      </c>
      <c r="E254" t="s">
        <v>12</v>
      </c>
      <c r="F254">
        <v>-10.32</v>
      </c>
      <c r="G254">
        <v>0.88329999999999997</v>
      </c>
      <c r="H254">
        <v>7.3049999999999997</v>
      </c>
      <c r="I254">
        <v>6.4525064999999993</v>
      </c>
      <c r="K254" t="str">
        <f>INDEX([1]Sheet1!$A$1:$G$108, MATCH(B254,[1]Sheet1!$B:$B,0), 1)</f>
        <v>3-Deoxyestradiol</v>
      </c>
      <c r="L254" t="str">
        <f>INDEX([1]Sheet1!$A$1:$G$108, MATCH(B254,[1]Sheet1!$B:$B,0), 3)</f>
        <v>moderate</v>
      </c>
      <c r="M254" t="s">
        <v>109</v>
      </c>
    </row>
    <row r="255" spans="1:13" x14ac:dyDescent="0.3">
      <c r="A255" t="s">
        <v>50</v>
      </c>
      <c r="B255" t="str">
        <f>_xlfn.TEXTBEFORE(_xlfn.TEXTAFTER(A255,"cas-"),"_")</f>
        <v>2529-64-8</v>
      </c>
      <c r="C255" t="s">
        <v>28</v>
      </c>
      <c r="D255" t="s">
        <v>29</v>
      </c>
      <c r="E255" t="s">
        <v>12</v>
      </c>
      <c r="F255">
        <v>-8.81</v>
      </c>
      <c r="G255">
        <v>0.72109999999999996</v>
      </c>
      <c r="H255">
        <v>7.2130000000000001</v>
      </c>
      <c r="I255">
        <v>5.2012942999999998</v>
      </c>
      <c r="K255" t="str">
        <f>INDEX([1]Sheet1!$A$1:$G$108, MATCH(B255,[1]Sheet1!$B:$B,0), 1)</f>
        <v>3-Deoxyestradiol</v>
      </c>
      <c r="L255" t="str">
        <f>INDEX([1]Sheet1!$A$1:$G$108, MATCH(B255,[1]Sheet1!$B:$B,0), 3)</f>
        <v>moderate</v>
      </c>
      <c r="M255" t="s">
        <v>109</v>
      </c>
    </row>
    <row r="256" spans="1:13" x14ac:dyDescent="0.3">
      <c r="A256" t="s">
        <v>50</v>
      </c>
      <c r="B256" t="str">
        <f>_xlfn.TEXTBEFORE(_xlfn.TEXTAFTER(A256,"cas-"),"_")</f>
        <v>2529-64-8</v>
      </c>
      <c r="C256" t="s">
        <v>24</v>
      </c>
      <c r="D256" t="s">
        <v>25</v>
      </c>
      <c r="E256" t="s">
        <v>12</v>
      </c>
      <c r="F256">
        <v>-10.31</v>
      </c>
      <c r="G256">
        <v>0.92830000000000001</v>
      </c>
      <c r="H256">
        <v>7.5019999999999998</v>
      </c>
      <c r="I256">
        <v>6.9641066</v>
      </c>
      <c r="K256" t="str">
        <f>INDEX([1]Sheet1!$A$1:$G$108, MATCH(B256,[1]Sheet1!$B:$B,0), 1)</f>
        <v>3-Deoxyestradiol</v>
      </c>
      <c r="L256" t="str">
        <f>INDEX([1]Sheet1!$A$1:$G$108, MATCH(B256,[1]Sheet1!$B:$B,0), 3)</f>
        <v>moderate</v>
      </c>
      <c r="M256" t="s">
        <v>109</v>
      </c>
    </row>
    <row r="257" spans="1:13" x14ac:dyDescent="0.3">
      <c r="A257" t="s">
        <v>50</v>
      </c>
      <c r="B257" t="str">
        <f>_xlfn.TEXTBEFORE(_xlfn.TEXTAFTER(A257,"cas-"),"_")</f>
        <v>2529-64-8</v>
      </c>
      <c r="C257" t="s">
        <v>22</v>
      </c>
      <c r="D257" t="s">
        <v>23</v>
      </c>
      <c r="E257" t="s">
        <v>12</v>
      </c>
      <c r="F257">
        <v>-9.77</v>
      </c>
      <c r="G257">
        <v>0.75619999999999998</v>
      </c>
      <c r="H257">
        <v>7.0350000000000001</v>
      </c>
      <c r="I257">
        <v>5.3198670000000003</v>
      </c>
      <c r="K257" t="str">
        <f>INDEX([1]Sheet1!$A$1:$G$108, MATCH(B257,[1]Sheet1!$B:$B,0), 1)</f>
        <v>3-Deoxyestradiol</v>
      </c>
      <c r="L257" t="str">
        <f>INDEX([1]Sheet1!$A$1:$G$108, MATCH(B257,[1]Sheet1!$B:$B,0), 3)</f>
        <v>moderate</v>
      </c>
      <c r="M257" t="s">
        <v>109</v>
      </c>
    </row>
    <row r="258" spans="1:13" x14ac:dyDescent="0.3">
      <c r="A258" t="s">
        <v>50</v>
      </c>
      <c r="B258" t="str">
        <f>_xlfn.TEXTBEFORE(_xlfn.TEXTAFTER(A258,"cas-"),"_")</f>
        <v>2529-64-8</v>
      </c>
      <c r="C258" t="s">
        <v>17</v>
      </c>
      <c r="D258" t="s">
        <v>11</v>
      </c>
      <c r="E258" t="s">
        <v>12</v>
      </c>
      <c r="F258">
        <v>-10.47</v>
      </c>
      <c r="G258">
        <v>0.89059999999999995</v>
      </c>
      <c r="H258">
        <v>7.2629999999999999</v>
      </c>
      <c r="I258">
        <v>6.4684277999999997</v>
      </c>
      <c r="K258" t="str">
        <f>INDEX([1]Sheet1!$A$1:$G$108, MATCH(B258,[1]Sheet1!$B:$B,0), 1)</f>
        <v>3-Deoxyestradiol</v>
      </c>
      <c r="L258" t="str">
        <f>INDEX([1]Sheet1!$A$1:$G$108, MATCH(B258,[1]Sheet1!$B:$B,0), 3)</f>
        <v>moderate</v>
      </c>
      <c r="M258" t="s">
        <v>109</v>
      </c>
    </row>
    <row r="259" spans="1:13" x14ac:dyDescent="0.3">
      <c r="A259" t="s">
        <v>50</v>
      </c>
      <c r="B259" t="str">
        <f>_xlfn.TEXTBEFORE(_xlfn.TEXTAFTER(A259,"cas-"),"_")</f>
        <v>2529-64-8</v>
      </c>
      <c r="C259" t="s">
        <v>27</v>
      </c>
      <c r="D259" t="s">
        <v>11</v>
      </c>
      <c r="E259" t="s">
        <v>12</v>
      </c>
      <c r="F259">
        <v>-11.05</v>
      </c>
      <c r="G259">
        <v>0.85129999999999995</v>
      </c>
      <c r="H259">
        <v>7.1959999999999997</v>
      </c>
      <c r="I259">
        <v>6.1259547999999997</v>
      </c>
      <c r="K259" t="str">
        <f>INDEX([1]Sheet1!$A$1:$G$108, MATCH(B259,[1]Sheet1!$B:$B,0), 1)</f>
        <v>3-Deoxyestradiol</v>
      </c>
      <c r="L259" t="str">
        <f>INDEX([1]Sheet1!$A$1:$G$108, MATCH(B259,[1]Sheet1!$B:$B,0), 3)</f>
        <v>moderate</v>
      </c>
      <c r="M259" t="s">
        <v>109</v>
      </c>
    </row>
    <row r="260" spans="1:13" x14ac:dyDescent="0.3">
      <c r="A260" t="s">
        <v>50</v>
      </c>
      <c r="B260" t="str">
        <f>_xlfn.TEXTBEFORE(_xlfn.TEXTAFTER(A260,"cas-"),"_")</f>
        <v>2529-64-8</v>
      </c>
      <c r="C260" t="s">
        <v>19</v>
      </c>
      <c r="D260" t="s">
        <v>20</v>
      </c>
      <c r="E260" t="s">
        <v>12</v>
      </c>
      <c r="F260">
        <v>-10.37</v>
      </c>
      <c r="G260">
        <v>0.93759999999999999</v>
      </c>
      <c r="H260">
        <v>7.4420000000000002</v>
      </c>
      <c r="I260">
        <v>6.9776192000000004</v>
      </c>
      <c r="K260" t="str">
        <f>INDEX([1]Sheet1!$A$1:$G$108, MATCH(B260,[1]Sheet1!$B:$B,0), 1)</f>
        <v>3-Deoxyestradiol</v>
      </c>
      <c r="L260" t="str">
        <f>INDEX([1]Sheet1!$A$1:$G$108, MATCH(B260,[1]Sheet1!$B:$B,0), 3)</f>
        <v>moderate</v>
      </c>
      <c r="M260" t="s">
        <v>109</v>
      </c>
    </row>
    <row r="261" spans="1:13" x14ac:dyDescent="0.3">
      <c r="A261" t="s">
        <v>50</v>
      </c>
      <c r="B261" t="str">
        <f>_xlfn.TEXTBEFORE(_xlfn.TEXTAFTER(A261,"cas-"),"_")</f>
        <v>2529-64-8</v>
      </c>
      <c r="C261" t="s">
        <v>13</v>
      </c>
      <c r="D261" t="s">
        <v>14</v>
      </c>
      <c r="E261" t="s">
        <v>12</v>
      </c>
      <c r="F261">
        <v>-10.31</v>
      </c>
      <c r="G261">
        <v>0.86570000000000003</v>
      </c>
      <c r="H261">
        <v>7.4189999999999996</v>
      </c>
      <c r="I261">
        <v>6.4226283000000004</v>
      </c>
      <c r="K261" t="str">
        <f>INDEX([1]Sheet1!$A$1:$G$108, MATCH(B261,[1]Sheet1!$B:$B,0), 1)</f>
        <v>3-Deoxyestradiol</v>
      </c>
      <c r="L261" t="str">
        <f>INDEX([1]Sheet1!$A$1:$G$108, MATCH(B261,[1]Sheet1!$B:$B,0), 3)</f>
        <v>moderate</v>
      </c>
      <c r="M261" t="s">
        <v>109</v>
      </c>
    </row>
    <row r="262" spans="1:13" x14ac:dyDescent="0.3">
      <c r="A262" t="s">
        <v>51</v>
      </c>
      <c r="B262" t="str">
        <f>_xlfn.TEXTBEFORE(_xlfn.TEXTAFTER(A262,"cas-"),"_")</f>
        <v>28034-99-3</v>
      </c>
      <c r="C262" t="s">
        <v>27</v>
      </c>
      <c r="D262" t="s">
        <v>11</v>
      </c>
      <c r="E262" t="s">
        <v>12</v>
      </c>
      <c r="F262">
        <v>-7.98</v>
      </c>
      <c r="G262">
        <v>0.9446</v>
      </c>
      <c r="H262">
        <v>6.7779999999999996</v>
      </c>
      <c r="I262">
        <v>6.4024987999999992</v>
      </c>
      <c r="K262" t="str">
        <f>INDEX([1]Sheet1!$A$1:$G$108, MATCH(B262,[1]Sheet1!$B:$B,0), 1)</f>
        <v>4-Chloro-4'-biphenylol</v>
      </c>
      <c r="L262" t="str">
        <f>INDEX([1]Sheet1!$A$1:$G$108, MATCH(B262,[1]Sheet1!$B:$B,0), 3)</f>
        <v>weak</v>
      </c>
      <c r="M262" t="s">
        <v>109</v>
      </c>
    </row>
    <row r="263" spans="1:13" x14ac:dyDescent="0.3">
      <c r="A263" t="s">
        <v>51</v>
      </c>
      <c r="B263" t="str">
        <f>_xlfn.TEXTBEFORE(_xlfn.TEXTAFTER(A263,"cas-"),"_")</f>
        <v>28034-99-3</v>
      </c>
      <c r="C263" t="s">
        <v>18</v>
      </c>
      <c r="D263" t="s">
        <v>11</v>
      </c>
      <c r="E263" t="s">
        <v>12</v>
      </c>
      <c r="F263">
        <v>-7.52</v>
      </c>
      <c r="G263">
        <v>0.90039999999999998</v>
      </c>
      <c r="H263">
        <v>6.4080000000000004</v>
      </c>
      <c r="I263">
        <v>5.7697631999999999</v>
      </c>
      <c r="K263" t="str">
        <f>INDEX([1]Sheet1!$A$1:$G$108, MATCH(B263,[1]Sheet1!$B:$B,0), 1)</f>
        <v>4-Chloro-4'-biphenylol</v>
      </c>
      <c r="L263" t="str">
        <f>INDEX([1]Sheet1!$A$1:$G$108, MATCH(B263,[1]Sheet1!$B:$B,0), 3)</f>
        <v>weak</v>
      </c>
      <c r="M263" t="s">
        <v>109</v>
      </c>
    </row>
    <row r="264" spans="1:13" x14ac:dyDescent="0.3">
      <c r="A264" t="s">
        <v>51</v>
      </c>
      <c r="B264" t="str">
        <f>_xlfn.TEXTBEFORE(_xlfn.TEXTAFTER(A264,"cas-"),"_")</f>
        <v>28034-99-3</v>
      </c>
      <c r="C264" t="s">
        <v>19</v>
      </c>
      <c r="D264" t="s">
        <v>20</v>
      </c>
      <c r="E264" t="s">
        <v>12</v>
      </c>
      <c r="F264">
        <v>-7.75</v>
      </c>
      <c r="G264">
        <v>0.92379999999999995</v>
      </c>
      <c r="H264">
        <v>6.2919999999999998</v>
      </c>
      <c r="I264">
        <v>5.8125495999999996</v>
      </c>
      <c r="K264" t="str">
        <f>INDEX([1]Sheet1!$A$1:$G$108, MATCH(B264,[1]Sheet1!$B:$B,0), 1)</f>
        <v>4-Chloro-4'-biphenylol</v>
      </c>
      <c r="L264" t="str">
        <f>INDEX([1]Sheet1!$A$1:$G$108, MATCH(B264,[1]Sheet1!$B:$B,0), 3)</f>
        <v>weak</v>
      </c>
      <c r="M264" t="s">
        <v>109</v>
      </c>
    </row>
    <row r="265" spans="1:13" x14ac:dyDescent="0.3">
      <c r="A265" t="s">
        <v>51</v>
      </c>
      <c r="B265" t="str">
        <f>_xlfn.TEXTBEFORE(_xlfn.TEXTAFTER(A265,"cas-"),"_")</f>
        <v>28034-99-3</v>
      </c>
      <c r="C265" t="s">
        <v>26</v>
      </c>
      <c r="D265" t="s">
        <v>14</v>
      </c>
      <c r="E265" t="s">
        <v>12</v>
      </c>
      <c r="F265">
        <v>-7.77</v>
      </c>
      <c r="G265">
        <v>0.94010000000000005</v>
      </c>
      <c r="H265">
        <v>6.2880000000000003</v>
      </c>
      <c r="I265">
        <v>5.9113488000000007</v>
      </c>
      <c r="K265" t="str">
        <f>INDEX([1]Sheet1!$A$1:$G$108, MATCH(B265,[1]Sheet1!$B:$B,0), 1)</f>
        <v>4-Chloro-4'-biphenylol</v>
      </c>
      <c r="L265" t="str">
        <f>INDEX([1]Sheet1!$A$1:$G$108, MATCH(B265,[1]Sheet1!$B:$B,0), 3)</f>
        <v>weak</v>
      </c>
      <c r="M265" t="s">
        <v>109</v>
      </c>
    </row>
    <row r="266" spans="1:13" x14ac:dyDescent="0.3">
      <c r="A266" t="s">
        <v>51</v>
      </c>
      <c r="B266" t="str">
        <f>_xlfn.TEXTBEFORE(_xlfn.TEXTAFTER(A266,"cas-"),"_")</f>
        <v>28034-99-3</v>
      </c>
      <c r="C266" t="s">
        <v>21</v>
      </c>
      <c r="D266" t="s">
        <v>11</v>
      </c>
      <c r="E266" t="s">
        <v>12</v>
      </c>
      <c r="F266">
        <v>-7.56</v>
      </c>
      <c r="G266">
        <v>0.90239999999999998</v>
      </c>
      <c r="H266">
        <v>6.1550000000000002</v>
      </c>
      <c r="I266">
        <v>5.5542720000000001</v>
      </c>
      <c r="K266" t="str">
        <f>INDEX([1]Sheet1!$A$1:$G$108, MATCH(B266,[1]Sheet1!$B:$B,0), 1)</f>
        <v>4-Chloro-4'-biphenylol</v>
      </c>
      <c r="L266" t="str">
        <f>INDEX([1]Sheet1!$A$1:$G$108, MATCH(B266,[1]Sheet1!$B:$B,0), 3)</f>
        <v>weak</v>
      </c>
      <c r="M266" t="s">
        <v>109</v>
      </c>
    </row>
    <row r="267" spans="1:13" x14ac:dyDescent="0.3">
      <c r="A267" t="s">
        <v>51</v>
      </c>
      <c r="B267" t="str">
        <f>_xlfn.TEXTBEFORE(_xlfn.TEXTAFTER(A267,"cas-"),"_")</f>
        <v>28034-99-3</v>
      </c>
      <c r="C267" t="s">
        <v>22</v>
      </c>
      <c r="D267" t="s">
        <v>23</v>
      </c>
      <c r="E267" t="s">
        <v>12</v>
      </c>
      <c r="F267">
        <v>-7.32</v>
      </c>
      <c r="G267">
        <v>0.90580000000000005</v>
      </c>
      <c r="H267">
        <v>6.3479999999999999</v>
      </c>
      <c r="I267">
        <v>5.7500184000000001</v>
      </c>
      <c r="K267" t="str">
        <f>INDEX([1]Sheet1!$A$1:$G$108, MATCH(B267,[1]Sheet1!$B:$B,0), 1)</f>
        <v>4-Chloro-4'-biphenylol</v>
      </c>
      <c r="L267" t="str">
        <f>INDEX([1]Sheet1!$A$1:$G$108, MATCH(B267,[1]Sheet1!$B:$B,0), 3)</f>
        <v>weak</v>
      </c>
      <c r="M267" t="s">
        <v>109</v>
      </c>
    </row>
    <row r="268" spans="1:13" x14ac:dyDescent="0.3">
      <c r="A268" t="s">
        <v>51</v>
      </c>
      <c r="B268" t="str">
        <f>_xlfn.TEXTBEFORE(_xlfn.TEXTAFTER(A268,"cas-"),"_")</f>
        <v>28034-99-3</v>
      </c>
      <c r="C268" t="s">
        <v>15</v>
      </c>
      <c r="D268" t="s">
        <v>16</v>
      </c>
      <c r="E268" t="s">
        <v>12</v>
      </c>
      <c r="F268">
        <v>-7.85</v>
      </c>
      <c r="G268">
        <v>0.90959999999999996</v>
      </c>
      <c r="H268">
        <v>6.2359999999999998</v>
      </c>
      <c r="I268">
        <v>5.6722655999999994</v>
      </c>
      <c r="K268" t="str">
        <f>INDEX([1]Sheet1!$A$1:$G$108, MATCH(B268,[1]Sheet1!$B:$B,0), 1)</f>
        <v>4-Chloro-4'-biphenylol</v>
      </c>
      <c r="L268" t="str">
        <f>INDEX([1]Sheet1!$A$1:$G$108, MATCH(B268,[1]Sheet1!$B:$B,0), 3)</f>
        <v>weak</v>
      </c>
      <c r="M268" t="s">
        <v>109</v>
      </c>
    </row>
    <row r="269" spans="1:13" x14ac:dyDescent="0.3">
      <c r="A269" t="s">
        <v>51</v>
      </c>
      <c r="B269" t="str">
        <f>_xlfn.TEXTBEFORE(_xlfn.TEXTAFTER(A269,"cas-"),"_")</f>
        <v>28034-99-3</v>
      </c>
      <c r="C269" t="s">
        <v>24</v>
      </c>
      <c r="D269" t="s">
        <v>25</v>
      </c>
      <c r="E269" t="s">
        <v>12</v>
      </c>
      <c r="F269">
        <v>-7.59</v>
      </c>
      <c r="G269">
        <v>0.9</v>
      </c>
      <c r="H269">
        <v>6.6479999999999997</v>
      </c>
      <c r="I269">
        <v>5.9832000000000001</v>
      </c>
      <c r="K269" t="str">
        <f>INDEX([1]Sheet1!$A$1:$G$108, MATCH(B269,[1]Sheet1!$B:$B,0), 1)</f>
        <v>4-Chloro-4'-biphenylol</v>
      </c>
      <c r="L269" t="str">
        <f>INDEX([1]Sheet1!$A$1:$G$108, MATCH(B269,[1]Sheet1!$B:$B,0), 3)</f>
        <v>weak</v>
      </c>
      <c r="M269" t="s">
        <v>109</v>
      </c>
    </row>
    <row r="270" spans="1:13" x14ac:dyDescent="0.3">
      <c r="A270" t="s">
        <v>51</v>
      </c>
      <c r="B270" t="str">
        <f>_xlfn.TEXTBEFORE(_xlfn.TEXTAFTER(A270,"cas-"),"_")</f>
        <v>28034-99-3</v>
      </c>
      <c r="C270" t="s">
        <v>10</v>
      </c>
      <c r="D270" t="s">
        <v>11</v>
      </c>
      <c r="E270" t="s">
        <v>12</v>
      </c>
      <c r="F270">
        <v>-7.56</v>
      </c>
      <c r="G270">
        <v>0.9254</v>
      </c>
      <c r="H270">
        <v>6.6260000000000003</v>
      </c>
      <c r="I270">
        <v>6.1317004000000006</v>
      </c>
      <c r="K270" t="str">
        <f>INDEX([1]Sheet1!$A$1:$G$108, MATCH(B270,[1]Sheet1!$B:$B,0), 1)</f>
        <v>4-Chloro-4'-biphenylol</v>
      </c>
      <c r="L270" t="str">
        <f>INDEX([1]Sheet1!$A$1:$G$108, MATCH(B270,[1]Sheet1!$B:$B,0), 3)</f>
        <v>weak</v>
      </c>
      <c r="M270" t="s">
        <v>109</v>
      </c>
    </row>
    <row r="271" spans="1:13" x14ac:dyDescent="0.3">
      <c r="A271" t="s">
        <v>51</v>
      </c>
      <c r="B271" t="str">
        <f>_xlfn.TEXTBEFORE(_xlfn.TEXTAFTER(A271,"cas-"),"_")</f>
        <v>28034-99-3</v>
      </c>
      <c r="C271" t="s">
        <v>28</v>
      </c>
      <c r="D271" t="s">
        <v>29</v>
      </c>
      <c r="E271" t="s">
        <v>12</v>
      </c>
      <c r="F271">
        <v>-7.46</v>
      </c>
      <c r="G271">
        <v>0.92500000000000004</v>
      </c>
      <c r="H271">
        <v>6.5709999999999997</v>
      </c>
      <c r="I271">
        <v>6.0781749999999999</v>
      </c>
      <c r="K271" t="str">
        <f>INDEX([1]Sheet1!$A$1:$G$108, MATCH(B271,[1]Sheet1!$B:$B,0), 1)</f>
        <v>4-Chloro-4'-biphenylol</v>
      </c>
      <c r="L271" t="str">
        <f>INDEX([1]Sheet1!$A$1:$G$108, MATCH(B271,[1]Sheet1!$B:$B,0), 3)</f>
        <v>weak</v>
      </c>
      <c r="M271" t="s">
        <v>109</v>
      </c>
    </row>
    <row r="272" spans="1:13" x14ac:dyDescent="0.3">
      <c r="A272" t="s">
        <v>51</v>
      </c>
      <c r="B272" t="str">
        <f>_xlfn.TEXTBEFORE(_xlfn.TEXTAFTER(A272,"cas-"),"_")</f>
        <v>28034-99-3</v>
      </c>
      <c r="C272" t="s">
        <v>30</v>
      </c>
      <c r="D272" t="s">
        <v>31</v>
      </c>
      <c r="E272" t="s">
        <v>12</v>
      </c>
      <c r="F272">
        <v>-7.37</v>
      </c>
      <c r="G272">
        <v>0.94450000000000001</v>
      </c>
      <c r="H272">
        <v>6.63</v>
      </c>
      <c r="I272">
        <v>6.262035</v>
      </c>
      <c r="K272" t="str">
        <f>INDEX([1]Sheet1!$A$1:$G$108, MATCH(B272,[1]Sheet1!$B:$B,0), 1)</f>
        <v>4-Chloro-4'-biphenylol</v>
      </c>
      <c r="L272" t="str">
        <f>INDEX([1]Sheet1!$A$1:$G$108, MATCH(B272,[1]Sheet1!$B:$B,0), 3)</f>
        <v>weak</v>
      </c>
      <c r="M272" t="s">
        <v>109</v>
      </c>
    </row>
    <row r="273" spans="1:13" x14ac:dyDescent="0.3">
      <c r="A273" t="s">
        <v>51</v>
      </c>
      <c r="B273" t="str">
        <f>_xlfn.TEXTBEFORE(_xlfn.TEXTAFTER(A273,"cas-"),"_")</f>
        <v>28034-99-3</v>
      </c>
      <c r="C273" t="s">
        <v>13</v>
      </c>
      <c r="D273" t="s">
        <v>14</v>
      </c>
      <c r="E273" t="s">
        <v>12</v>
      </c>
      <c r="F273">
        <v>-7.71</v>
      </c>
      <c r="G273">
        <v>0.95450000000000002</v>
      </c>
      <c r="H273">
        <v>6.6580000000000004</v>
      </c>
      <c r="I273">
        <v>6.3550610000000001</v>
      </c>
      <c r="K273" t="str">
        <f>INDEX([1]Sheet1!$A$1:$G$108, MATCH(B273,[1]Sheet1!$B:$B,0), 1)</f>
        <v>4-Chloro-4'-biphenylol</v>
      </c>
      <c r="L273" t="str">
        <f>INDEX([1]Sheet1!$A$1:$G$108, MATCH(B273,[1]Sheet1!$B:$B,0), 3)</f>
        <v>weak</v>
      </c>
      <c r="M273" t="s">
        <v>109</v>
      </c>
    </row>
    <row r="274" spans="1:13" x14ac:dyDescent="0.3">
      <c r="A274" t="s">
        <v>51</v>
      </c>
      <c r="B274" t="str">
        <f>_xlfn.TEXTBEFORE(_xlfn.TEXTAFTER(A274,"cas-"),"_")</f>
        <v>28034-99-3</v>
      </c>
      <c r="C274" t="s">
        <v>17</v>
      </c>
      <c r="D274" t="s">
        <v>11</v>
      </c>
      <c r="E274" t="s">
        <v>12</v>
      </c>
      <c r="F274">
        <v>-7.63</v>
      </c>
      <c r="G274">
        <v>0.91400000000000003</v>
      </c>
      <c r="H274">
        <v>6.7350000000000003</v>
      </c>
      <c r="I274">
        <v>6.1557900000000014</v>
      </c>
      <c r="K274" t="str">
        <f>INDEX([1]Sheet1!$A$1:$G$108, MATCH(B274,[1]Sheet1!$B:$B,0), 1)</f>
        <v>4-Chloro-4'-biphenylol</v>
      </c>
      <c r="L274" t="str">
        <f>INDEX([1]Sheet1!$A$1:$G$108, MATCH(B274,[1]Sheet1!$B:$B,0), 3)</f>
        <v>weak</v>
      </c>
      <c r="M274" t="s">
        <v>109</v>
      </c>
    </row>
    <row r="275" spans="1:13" x14ac:dyDescent="0.3">
      <c r="A275" t="s">
        <v>52</v>
      </c>
      <c r="B275" t="str">
        <f>_xlfn.TEXTBEFORE(_xlfn.TEXTAFTER(A275,"cas-"),"_")</f>
        <v>28463-03-8</v>
      </c>
      <c r="C275" t="s">
        <v>21</v>
      </c>
      <c r="D275" t="s">
        <v>11</v>
      </c>
      <c r="E275" t="s">
        <v>12</v>
      </c>
      <c r="F275">
        <v>-7.03</v>
      </c>
      <c r="G275">
        <v>0.9002</v>
      </c>
      <c r="H275">
        <v>7.6559999999999997</v>
      </c>
      <c r="I275">
        <v>6.8919312000000001</v>
      </c>
      <c r="K275" t="str">
        <f>INDEX([1]Sheet1!$A$1:$G$108, MATCH(B275,[1]Sheet1!$B:$B,0), 1)</f>
        <v>Monohydroxymethoxychlor</v>
      </c>
      <c r="L275" t="str">
        <f>INDEX([1]Sheet1!$A$1:$G$108, MATCH(B275,[1]Sheet1!$B:$B,0), 3)</f>
        <v>moderate</v>
      </c>
      <c r="M275" t="s">
        <v>109</v>
      </c>
    </row>
    <row r="276" spans="1:13" x14ac:dyDescent="0.3">
      <c r="A276" t="s">
        <v>52</v>
      </c>
      <c r="B276" t="str">
        <f>_xlfn.TEXTBEFORE(_xlfn.TEXTAFTER(A276,"cas-"),"_")</f>
        <v>28463-03-8</v>
      </c>
      <c r="C276" t="s">
        <v>18</v>
      </c>
      <c r="D276" t="s">
        <v>11</v>
      </c>
      <c r="E276" t="s">
        <v>12</v>
      </c>
      <c r="F276">
        <v>-6.96</v>
      </c>
      <c r="G276">
        <v>0.92369999999999997</v>
      </c>
      <c r="H276">
        <v>7.6849999999999996</v>
      </c>
      <c r="I276">
        <v>7.0986344999999993</v>
      </c>
      <c r="K276" t="str">
        <f>INDEX([1]Sheet1!$A$1:$G$108, MATCH(B276,[1]Sheet1!$B:$B,0), 1)</f>
        <v>Monohydroxymethoxychlor</v>
      </c>
      <c r="L276" t="str">
        <f>INDEX([1]Sheet1!$A$1:$G$108, MATCH(B276,[1]Sheet1!$B:$B,0), 3)</f>
        <v>moderate</v>
      </c>
      <c r="M276" t="s">
        <v>109</v>
      </c>
    </row>
    <row r="277" spans="1:13" x14ac:dyDescent="0.3">
      <c r="A277" t="s">
        <v>52</v>
      </c>
      <c r="B277" t="str">
        <f>_xlfn.TEXTBEFORE(_xlfn.TEXTAFTER(A277,"cas-"),"_")</f>
        <v>28463-03-8</v>
      </c>
      <c r="C277" t="s">
        <v>27</v>
      </c>
      <c r="D277" t="s">
        <v>11</v>
      </c>
      <c r="E277" t="s">
        <v>12</v>
      </c>
      <c r="F277">
        <v>-6.39</v>
      </c>
      <c r="G277">
        <v>0.91359999999999997</v>
      </c>
      <c r="H277">
        <v>8.0820000000000007</v>
      </c>
      <c r="I277">
        <v>7.3837152000000001</v>
      </c>
      <c r="K277" t="str">
        <f>INDEX([1]Sheet1!$A$1:$G$108, MATCH(B277,[1]Sheet1!$B:$B,0), 1)</f>
        <v>Monohydroxymethoxychlor</v>
      </c>
      <c r="L277" t="str">
        <f>INDEX([1]Sheet1!$A$1:$G$108, MATCH(B277,[1]Sheet1!$B:$B,0), 3)</f>
        <v>moderate</v>
      </c>
      <c r="M277" t="s">
        <v>109</v>
      </c>
    </row>
    <row r="278" spans="1:13" x14ac:dyDescent="0.3">
      <c r="A278" t="s">
        <v>52</v>
      </c>
      <c r="B278" t="str">
        <f>_xlfn.TEXTBEFORE(_xlfn.TEXTAFTER(A278,"cas-"),"_")</f>
        <v>28463-03-8</v>
      </c>
      <c r="C278" t="s">
        <v>17</v>
      </c>
      <c r="D278" t="s">
        <v>11</v>
      </c>
      <c r="E278" t="s">
        <v>12</v>
      </c>
      <c r="F278">
        <v>-5.96</v>
      </c>
      <c r="G278">
        <v>0.86570000000000003</v>
      </c>
      <c r="H278">
        <v>7.9530000000000003</v>
      </c>
      <c r="I278">
        <v>6.8849121000000002</v>
      </c>
      <c r="K278" t="str">
        <f>INDEX([1]Sheet1!$A$1:$G$108, MATCH(B278,[1]Sheet1!$B:$B,0), 1)</f>
        <v>Monohydroxymethoxychlor</v>
      </c>
      <c r="L278" t="str">
        <f>INDEX([1]Sheet1!$A$1:$G$108, MATCH(B278,[1]Sheet1!$B:$B,0), 3)</f>
        <v>moderate</v>
      </c>
      <c r="M278" t="s">
        <v>109</v>
      </c>
    </row>
    <row r="279" spans="1:13" x14ac:dyDescent="0.3">
      <c r="A279" t="s">
        <v>52</v>
      </c>
      <c r="B279" t="str">
        <f>_xlfn.TEXTBEFORE(_xlfn.TEXTAFTER(A279,"cas-"),"_")</f>
        <v>28463-03-8</v>
      </c>
      <c r="C279" t="s">
        <v>15</v>
      </c>
      <c r="D279" t="s">
        <v>16</v>
      </c>
      <c r="E279" t="s">
        <v>12</v>
      </c>
      <c r="F279">
        <v>-7.18</v>
      </c>
      <c r="G279">
        <v>0.90920000000000001</v>
      </c>
      <c r="H279">
        <v>7.702</v>
      </c>
      <c r="I279">
        <v>7.0026583999999996</v>
      </c>
      <c r="K279" t="str">
        <f>INDEX([1]Sheet1!$A$1:$G$108, MATCH(B279,[1]Sheet1!$B:$B,0), 1)</f>
        <v>Monohydroxymethoxychlor</v>
      </c>
      <c r="L279" t="str">
        <f>INDEX([1]Sheet1!$A$1:$G$108, MATCH(B279,[1]Sheet1!$B:$B,0), 3)</f>
        <v>moderate</v>
      </c>
      <c r="M279" t="s">
        <v>109</v>
      </c>
    </row>
    <row r="280" spans="1:13" x14ac:dyDescent="0.3">
      <c r="A280" t="s">
        <v>52</v>
      </c>
      <c r="B280" t="str">
        <f>_xlfn.TEXTBEFORE(_xlfn.TEXTAFTER(A280,"cas-"),"_")</f>
        <v>28463-03-8</v>
      </c>
      <c r="C280" t="s">
        <v>26</v>
      </c>
      <c r="D280" t="s">
        <v>14</v>
      </c>
      <c r="E280" t="s">
        <v>12</v>
      </c>
      <c r="F280">
        <v>-5.22</v>
      </c>
      <c r="G280">
        <v>0.86850000000000005</v>
      </c>
      <c r="H280">
        <v>7.8490000000000002</v>
      </c>
      <c r="I280">
        <v>6.816856500000001</v>
      </c>
      <c r="K280" t="str">
        <f>INDEX([1]Sheet1!$A$1:$G$108, MATCH(B280,[1]Sheet1!$B:$B,0), 1)</f>
        <v>Monohydroxymethoxychlor</v>
      </c>
      <c r="L280" t="str">
        <f>INDEX([1]Sheet1!$A$1:$G$108, MATCH(B280,[1]Sheet1!$B:$B,0), 3)</f>
        <v>moderate</v>
      </c>
      <c r="M280" t="s">
        <v>109</v>
      </c>
    </row>
    <row r="281" spans="1:13" x14ac:dyDescent="0.3">
      <c r="A281" t="s">
        <v>52</v>
      </c>
      <c r="B281" t="str">
        <f>_xlfn.TEXTBEFORE(_xlfn.TEXTAFTER(A281,"cas-"),"_")</f>
        <v>28463-03-8</v>
      </c>
      <c r="C281" t="s">
        <v>10</v>
      </c>
      <c r="D281" t="s">
        <v>11</v>
      </c>
      <c r="E281" t="s">
        <v>12</v>
      </c>
      <c r="F281">
        <v>-5.7</v>
      </c>
      <c r="G281">
        <v>0.84730000000000005</v>
      </c>
      <c r="H281">
        <v>7.54</v>
      </c>
      <c r="I281">
        <v>6.3886420000000008</v>
      </c>
      <c r="K281" t="str">
        <f>INDEX([1]Sheet1!$A$1:$G$108, MATCH(B281,[1]Sheet1!$B:$B,0), 1)</f>
        <v>Monohydroxymethoxychlor</v>
      </c>
      <c r="L281" t="str">
        <f>INDEX([1]Sheet1!$A$1:$G$108, MATCH(B281,[1]Sheet1!$B:$B,0), 3)</f>
        <v>moderate</v>
      </c>
      <c r="M281" t="s">
        <v>109</v>
      </c>
    </row>
    <row r="282" spans="1:13" x14ac:dyDescent="0.3">
      <c r="A282" t="s">
        <v>52</v>
      </c>
      <c r="B282" t="str">
        <f>_xlfn.TEXTBEFORE(_xlfn.TEXTAFTER(A282,"cas-"),"_")</f>
        <v>28463-03-8</v>
      </c>
      <c r="C282" t="s">
        <v>22</v>
      </c>
      <c r="D282" t="s">
        <v>23</v>
      </c>
      <c r="E282" t="s">
        <v>12</v>
      </c>
      <c r="F282">
        <v>-8.48</v>
      </c>
      <c r="G282">
        <v>0.94650000000000001</v>
      </c>
      <c r="H282">
        <v>7.5179999999999998</v>
      </c>
      <c r="I282">
        <v>7.1157870000000001</v>
      </c>
      <c r="K282" t="str">
        <f>INDEX([1]Sheet1!$A$1:$G$108, MATCH(B282,[1]Sheet1!$B:$B,0), 1)</f>
        <v>Monohydroxymethoxychlor</v>
      </c>
      <c r="L282" t="str">
        <f>INDEX([1]Sheet1!$A$1:$G$108, MATCH(B282,[1]Sheet1!$B:$B,0), 3)</f>
        <v>moderate</v>
      </c>
      <c r="M282" t="s">
        <v>109</v>
      </c>
    </row>
    <row r="283" spans="1:13" x14ac:dyDescent="0.3">
      <c r="A283" t="s">
        <v>52</v>
      </c>
      <c r="B283" t="str">
        <f>_xlfn.TEXTBEFORE(_xlfn.TEXTAFTER(A283,"cas-"),"_")</f>
        <v>28463-03-8</v>
      </c>
      <c r="C283" t="s">
        <v>19</v>
      </c>
      <c r="D283" t="s">
        <v>20</v>
      </c>
      <c r="E283" t="s">
        <v>12</v>
      </c>
      <c r="F283">
        <v>-6.92</v>
      </c>
      <c r="G283">
        <v>0.86099999999999999</v>
      </c>
      <c r="H283">
        <v>7.5209999999999999</v>
      </c>
      <c r="I283">
        <v>6.475581</v>
      </c>
      <c r="K283" t="str">
        <f>INDEX([1]Sheet1!$A$1:$G$108, MATCH(B283,[1]Sheet1!$B:$B,0), 1)</f>
        <v>Monohydroxymethoxychlor</v>
      </c>
      <c r="L283" t="str">
        <f>INDEX([1]Sheet1!$A$1:$G$108, MATCH(B283,[1]Sheet1!$B:$B,0), 3)</f>
        <v>moderate</v>
      </c>
      <c r="M283" t="s">
        <v>109</v>
      </c>
    </row>
    <row r="284" spans="1:13" x14ac:dyDescent="0.3">
      <c r="A284" t="s">
        <v>52</v>
      </c>
      <c r="B284" t="str">
        <f>_xlfn.TEXTBEFORE(_xlfn.TEXTAFTER(A284,"cas-"),"_")</f>
        <v>28463-03-8</v>
      </c>
      <c r="C284" t="s">
        <v>13</v>
      </c>
      <c r="D284" t="s">
        <v>14</v>
      </c>
      <c r="E284" t="s">
        <v>12</v>
      </c>
      <c r="F284">
        <v>-6.07</v>
      </c>
      <c r="G284">
        <v>0.91190000000000004</v>
      </c>
      <c r="H284">
        <v>8.0340000000000007</v>
      </c>
      <c r="I284">
        <v>7.3262046000000014</v>
      </c>
      <c r="K284" t="str">
        <f>INDEX([1]Sheet1!$A$1:$G$108, MATCH(B284,[1]Sheet1!$B:$B,0), 1)</f>
        <v>Monohydroxymethoxychlor</v>
      </c>
      <c r="L284" t="str">
        <f>INDEX([1]Sheet1!$A$1:$G$108, MATCH(B284,[1]Sheet1!$B:$B,0), 3)</f>
        <v>moderate</v>
      </c>
      <c r="M284" t="s">
        <v>109</v>
      </c>
    </row>
    <row r="285" spans="1:13" x14ac:dyDescent="0.3">
      <c r="A285" t="s">
        <v>52</v>
      </c>
      <c r="B285" t="str">
        <f>_xlfn.TEXTBEFORE(_xlfn.TEXTAFTER(A285,"cas-"),"_")</f>
        <v>28463-03-8</v>
      </c>
      <c r="C285" t="s">
        <v>28</v>
      </c>
      <c r="D285" t="s">
        <v>29</v>
      </c>
      <c r="E285" t="s">
        <v>12</v>
      </c>
      <c r="F285">
        <v>-7.97</v>
      </c>
      <c r="G285">
        <v>0.96870000000000001</v>
      </c>
      <c r="H285">
        <v>7.6479999999999997</v>
      </c>
      <c r="I285">
        <v>7.4086175999999986</v>
      </c>
      <c r="K285" t="str">
        <f>INDEX([1]Sheet1!$A$1:$G$108, MATCH(B285,[1]Sheet1!$B:$B,0), 1)</f>
        <v>Monohydroxymethoxychlor</v>
      </c>
      <c r="L285" t="str">
        <f>INDEX([1]Sheet1!$A$1:$G$108, MATCH(B285,[1]Sheet1!$B:$B,0), 3)</f>
        <v>moderate</v>
      </c>
      <c r="M285" t="s">
        <v>109</v>
      </c>
    </row>
    <row r="286" spans="1:13" x14ac:dyDescent="0.3">
      <c r="A286" t="s">
        <v>52</v>
      </c>
      <c r="B286" t="str">
        <f>_xlfn.TEXTBEFORE(_xlfn.TEXTAFTER(A286,"cas-"),"_")</f>
        <v>28463-03-8</v>
      </c>
      <c r="C286" t="s">
        <v>30</v>
      </c>
      <c r="D286" t="s">
        <v>31</v>
      </c>
      <c r="E286" t="s">
        <v>12</v>
      </c>
      <c r="F286">
        <v>-6.36</v>
      </c>
      <c r="G286">
        <v>0.92949999999999999</v>
      </c>
      <c r="H286">
        <v>7.7519999999999998</v>
      </c>
      <c r="I286">
        <v>7.2054839999999993</v>
      </c>
      <c r="K286" t="str">
        <f>INDEX([1]Sheet1!$A$1:$G$108, MATCH(B286,[1]Sheet1!$B:$B,0), 1)</f>
        <v>Monohydroxymethoxychlor</v>
      </c>
      <c r="L286" t="str">
        <f>INDEX([1]Sheet1!$A$1:$G$108, MATCH(B286,[1]Sheet1!$B:$B,0), 3)</f>
        <v>moderate</v>
      </c>
      <c r="M286" t="s">
        <v>109</v>
      </c>
    </row>
    <row r="287" spans="1:13" x14ac:dyDescent="0.3">
      <c r="A287" t="s">
        <v>52</v>
      </c>
      <c r="B287" t="str">
        <f>_xlfn.TEXTBEFORE(_xlfn.TEXTAFTER(A287,"cas-"),"_")</f>
        <v>28463-03-8</v>
      </c>
      <c r="C287" t="s">
        <v>24</v>
      </c>
      <c r="D287" t="s">
        <v>25</v>
      </c>
      <c r="E287" t="s">
        <v>12</v>
      </c>
      <c r="F287">
        <v>-7.25</v>
      </c>
      <c r="G287">
        <v>0.80840000000000001</v>
      </c>
      <c r="H287">
        <v>7.7110000000000003</v>
      </c>
      <c r="I287">
        <v>6.2335723999999999</v>
      </c>
      <c r="K287" t="str">
        <f>INDEX([1]Sheet1!$A$1:$G$108, MATCH(B287,[1]Sheet1!$B:$B,0), 1)</f>
        <v>Monohydroxymethoxychlor</v>
      </c>
      <c r="L287" t="str">
        <f>INDEX([1]Sheet1!$A$1:$G$108, MATCH(B287,[1]Sheet1!$B:$B,0), 3)</f>
        <v>moderate</v>
      </c>
      <c r="M287" t="s">
        <v>109</v>
      </c>
    </row>
    <row r="288" spans="1:13" x14ac:dyDescent="0.3">
      <c r="A288" t="s">
        <v>53</v>
      </c>
      <c r="B288" t="str">
        <f>_xlfn.TEXTBEFORE(_xlfn.TEXTAFTER(A288,"cas-"),"_")</f>
        <v>2971-36-0</v>
      </c>
      <c r="C288" t="s">
        <v>21</v>
      </c>
      <c r="D288" t="s">
        <v>11</v>
      </c>
      <c r="E288" t="s">
        <v>12</v>
      </c>
      <c r="F288">
        <v>-9.3000000000000007</v>
      </c>
      <c r="G288">
        <v>0.95030000000000003</v>
      </c>
      <c r="H288">
        <v>7.6820000000000004</v>
      </c>
      <c r="I288">
        <v>7.3002046000000007</v>
      </c>
      <c r="K288" t="str">
        <f>INDEX([1]Sheet1!$A$1:$G$108, MATCH(B288,[1]Sheet1!$B:$B,0), 1)</f>
        <v>HPTE</v>
      </c>
      <c r="L288" t="str">
        <f>INDEX([1]Sheet1!$A$1:$G$108, MATCH(B288,[1]Sheet1!$B:$B,0), 3)</f>
        <v>moderate</v>
      </c>
      <c r="M288" t="s">
        <v>109</v>
      </c>
    </row>
    <row r="289" spans="1:13" x14ac:dyDescent="0.3">
      <c r="A289" t="s">
        <v>53</v>
      </c>
      <c r="B289" t="str">
        <f>_xlfn.TEXTBEFORE(_xlfn.TEXTAFTER(A289,"cas-"),"_")</f>
        <v>2971-36-0</v>
      </c>
      <c r="C289" t="s">
        <v>13</v>
      </c>
      <c r="D289" t="s">
        <v>14</v>
      </c>
      <c r="E289" t="s">
        <v>12</v>
      </c>
      <c r="F289">
        <v>-8.58</v>
      </c>
      <c r="G289">
        <v>0.9657</v>
      </c>
      <c r="H289">
        <v>7.9080000000000004</v>
      </c>
      <c r="I289">
        <v>7.6367556000000008</v>
      </c>
      <c r="K289" t="str">
        <f>INDEX([1]Sheet1!$A$1:$G$108, MATCH(B289,[1]Sheet1!$B:$B,0), 1)</f>
        <v>HPTE</v>
      </c>
      <c r="L289" t="str">
        <f>INDEX([1]Sheet1!$A$1:$G$108, MATCH(B289,[1]Sheet1!$B:$B,0), 3)</f>
        <v>moderate</v>
      </c>
      <c r="M289" t="s">
        <v>109</v>
      </c>
    </row>
    <row r="290" spans="1:13" x14ac:dyDescent="0.3">
      <c r="A290" t="s">
        <v>53</v>
      </c>
      <c r="B290" t="str">
        <f>_xlfn.TEXTBEFORE(_xlfn.TEXTAFTER(A290,"cas-"),"_")</f>
        <v>2971-36-0</v>
      </c>
      <c r="C290" t="s">
        <v>18</v>
      </c>
      <c r="D290" t="s">
        <v>11</v>
      </c>
      <c r="E290" t="s">
        <v>12</v>
      </c>
      <c r="F290">
        <v>-8.52</v>
      </c>
      <c r="G290">
        <v>0.92179999999999995</v>
      </c>
      <c r="H290">
        <v>7.5149999999999997</v>
      </c>
      <c r="I290">
        <v>6.9273269999999991</v>
      </c>
      <c r="K290" t="str">
        <f>INDEX([1]Sheet1!$A$1:$G$108, MATCH(B290,[1]Sheet1!$B:$B,0), 1)</f>
        <v>HPTE</v>
      </c>
      <c r="L290" t="str">
        <f>INDEX([1]Sheet1!$A$1:$G$108, MATCH(B290,[1]Sheet1!$B:$B,0), 3)</f>
        <v>moderate</v>
      </c>
      <c r="M290" t="s">
        <v>109</v>
      </c>
    </row>
    <row r="291" spans="1:13" x14ac:dyDescent="0.3">
      <c r="A291" t="s">
        <v>53</v>
      </c>
      <c r="B291" t="str">
        <f>_xlfn.TEXTBEFORE(_xlfn.TEXTAFTER(A291,"cas-"),"_")</f>
        <v>2971-36-0</v>
      </c>
      <c r="C291" t="s">
        <v>27</v>
      </c>
      <c r="D291" t="s">
        <v>11</v>
      </c>
      <c r="E291" t="s">
        <v>12</v>
      </c>
      <c r="F291">
        <v>-9.27</v>
      </c>
      <c r="G291">
        <v>0.88419999999999999</v>
      </c>
      <c r="H291">
        <v>7.625</v>
      </c>
      <c r="I291">
        <v>6.7420249999999999</v>
      </c>
      <c r="K291" t="str">
        <f>INDEX([1]Sheet1!$A$1:$G$108, MATCH(B291,[1]Sheet1!$B:$B,0), 1)</f>
        <v>HPTE</v>
      </c>
      <c r="L291" t="str">
        <f>INDEX([1]Sheet1!$A$1:$G$108, MATCH(B291,[1]Sheet1!$B:$B,0), 3)</f>
        <v>moderate</v>
      </c>
      <c r="M291" t="s">
        <v>109</v>
      </c>
    </row>
    <row r="292" spans="1:13" x14ac:dyDescent="0.3">
      <c r="A292" t="s">
        <v>53</v>
      </c>
      <c r="B292" t="str">
        <f>_xlfn.TEXTBEFORE(_xlfn.TEXTAFTER(A292,"cas-"),"_")</f>
        <v>2971-36-0</v>
      </c>
      <c r="C292" t="s">
        <v>10</v>
      </c>
      <c r="D292" t="s">
        <v>11</v>
      </c>
      <c r="E292" t="s">
        <v>12</v>
      </c>
      <c r="F292">
        <v>-8.3699999999999992</v>
      </c>
      <c r="G292">
        <v>0.92959999999999998</v>
      </c>
      <c r="H292">
        <v>7.6470000000000002</v>
      </c>
      <c r="I292">
        <v>7.1086511999999997</v>
      </c>
      <c r="K292" t="str">
        <f>INDEX([1]Sheet1!$A$1:$G$108, MATCH(B292,[1]Sheet1!$B:$B,0), 1)</f>
        <v>HPTE</v>
      </c>
      <c r="L292" t="str">
        <f>INDEX([1]Sheet1!$A$1:$G$108, MATCH(B292,[1]Sheet1!$B:$B,0), 3)</f>
        <v>moderate</v>
      </c>
      <c r="M292" t="s">
        <v>109</v>
      </c>
    </row>
    <row r="293" spans="1:13" x14ac:dyDescent="0.3">
      <c r="A293" t="s">
        <v>53</v>
      </c>
      <c r="B293" t="str">
        <f>_xlfn.TEXTBEFORE(_xlfn.TEXTAFTER(A293,"cas-"),"_")</f>
        <v>2971-36-0</v>
      </c>
      <c r="C293" t="s">
        <v>24</v>
      </c>
      <c r="D293" t="s">
        <v>25</v>
      </c>
      <c r="E293" t="s">
        <v>12</v>
      </c>
      <c r="F293">
        <v>-9.0299999999999994</v>
      </c>
      <c r="G293">
        <v>0.89610000000000001</v>
      </c>
      <c r="H293">
        <v>7.782</v>
      </c>
      <c r="I293">
        <v>6.9734502000000003</v>
      </c>
      <c r="K293" t="str">
        <f>INDEX([1]Sheet1!$A$1:$G$108, MATCH(B293,[1]Sheet1!$B:$B,0), 1)</f>
        <v>HPTE</v>
      </c>
      <c r="L293" t="str">
        <f>INDEX([1]Sheet1!$A$1:$G$108, MATCH(B293,[1]Sheet1!$B:$B,0), 3)</f>
        <v>moderate</v>
      </c>
      <c r="M293" t="s">
        <v>109</v>
      </c>
    </row>
    <row r="294" spans="1:13" x14ac:dyDescent="0.3">
      <c r="A294" t="s">
        <v>53</v>
      </c>
      <c r="B294" t="str">
        <f>_xlfn.TEXTBEFORE(_xlfn.TEXTAFTER(A294,"cas-"),"_")</f>
        <v>2971-36-0</v>
      </c>
      <c r="C294" t="s">
        <v>22</v>
      </c>
      <c r="D294" t="s">
        <v>23</v>
      </c>
      <c r="E294" t="s">
        <v>12</v>
      </c>
      <c r="F294">
        <v>-8.49</v>
      </c>
      <c r="G294">
        <v>0.9123</v>
      </c>
      <c r="H294">
        <v>7.3929999999999998</v>
      </c>
      <c r="I294">
        <v>6.7446339000000002</v>
      </c>
      <c r="K294" t="str">
        <f>INDEX([1]Sheet1!$A$1:$G$108, MATCH(B294,[1]Sheet1!$B:$B,0), 1)</f>
        <v>HPTE</v>
      </c>
      <c r="L294" t="str">
        <f>INDEX([1]Sheet1!$A$1:$G$108, MATCH(B294,[1]Sheet1!$B:$B,0), 3)</f>
        <v>moderate</v>
      </c>
      <c r="M294" t="s">
        <v>109</v>
      </c>
    </row>
    <row r="295" spans="1:13" x14ac:dyDescent="0.3">
      <c r="A295" t="s">
        <v>53</v>
      </c>
      <c r="B295" t="str">
        <f>_xlfn.TEXTBEFORE(_xlfn.TEXTAFTER(A295,"cas-"),"_")</f>
        <v>2971-36-0</v>
      </c>
      <c r="C295" t="s">
        <v>17</v>
      </c>
      <c r="D295" t="s">
        <v>11</v>
      </c>
      <c r="E295" t="s">
        <v>12</v>
      </c>
      <c r="F295">
        <v>-8.9700000000000006</v>
      </c>
      <c r="G295">
        <v>0.95950000000000002</v>
      </c>
      <c r="H295">
        <v>8.0510000000000002</v>
      </c>
      <c r="I295">
        <v>7.7249345000000007</v>
      </c>
      <c r="K295" t="str">
        <f>INDEX([1]Sheet1!$A$1:$G$108, MATCH(B295,[1]Sheet1!$B:$B,0), 1)</f>
        <v>HPTE</v>
      </c>
      <c r="L295" t="str">
        <f>INDEX([1]Sheet1!$A$1:$G$108, MATCH(B295,[1]Sheet1!$B:$B,0), 3)</f>
        <v>moderate</v>
      </c>
      <c r="M295" t="s">
        <v>109</v>
      </c>
    </row>
    <row r="296" spans="1:13" x14ac:dyDescent="0.3">
      <c r="A296" t="s">
        <v>53</v>
      </c>
      <c r="B296" t="str">
        <f>_xlfn.TEXTBEFORE(_xlfn.TEXTAFTER(A296,"cas-"),"_")</f>
        <v>2971-36-0</v>
      </c>
      <c r="C296" t="s">
        <v>28</v>
      </c>
      <c r="D296" t="s">
        <v>29</v>
      </c>
      <c r="E296" t="s">
        <v>12</v>
      </c>
      <c r="F296">
        <v>-8.8000000000000007</v>
      </c>
      <c r="G296">
        <v>0.97250000000000003</v>
      </c>
      <c r="H296">
        <v>7.8090000000000002</v>
      </c>
      <c r="I296">
        <v>7.5942525000000014</v>
      </c>
      <c r="K296" t="str">
        <f>INDEX([1]Sheet1!$A$1:$G$108, MATCH(B296,[1]Sheet1!$B:$B,0), 1)</f>
        <v>HPTE</v>
      </c>
      <c r="L296" t="str">
        <f>INDEX([1]Sheet1!$A$1:$G$108, MATCH(B296,[1]Sheet1!$B:$B,0), 3)</f>
        <v>moderate</v>
      </c>
      <c r="M296" t="s">
        <v>109</v>
      </c>
    </row>
    <row r="297" spans="1:13" x14ac:dyDescent="0.3">
      <c r="A297" t="s">
        <v>53</v>
      </c>
      <c r="B297" t="str">
        <f>_xlfn.TEXTBEFORE(_xlfn.TEXTAFTER(A297,"cas-"),"_")</f>
        <v>2971-36-0</v>
      </c>
      <c r="C297" t="s">
        <v>15</v>
      </c>
      <c r="D297" t="s">
        <v>16</v>
      </c>
      <c r="E297" t="s">
        <v>12</v>
      </c>
      <c r="F297">
        <v>-8.4499999999999993</v>
      </c>
      <c r="G297">
        <v>0.92059999999999997</v>
      </c>
      <c r="H297">
        <v>7.4359999999999999</v>
      </c>
      <c r="I297">
        <v>6.8455816</v>
      </c>
      <c r="K297" t="str">
        <f>INDEX([1]Sheet1!$A$1:$G$108, MATCH(B297,[1]Sheet1!$B:$B,0), 1)</f>
        <v>HPTE</v>
      </c>
      <c r="L297" t="str">
        <f>INDEX([1]Sheet1!$A$1:$G$108, MATCH(B297,[1]Sheet1!$B:$B,0), 3)</f>
        <v>moderate</v>
      </c>
      <c r="M297" t="s">
        <v>109</v>
      </c>
    </row>
    <row r="298" spans="1:13" x14ac:dyDescent="0.3">
      <c r="A298" t="s">
        <v>53</v>
      </c>
      <c r="B298" t="str">
        <f>_xlfn.TEXTBEFORE(_xlfn.TEXTAFTER(A298,"cas-"),"_")</f>
        <v>2971-36-0</v>
      </c>
      <c r="C298" t="s">
        <v>19</v>
      </c>
      <c r="D298" t="s">
        <v>20</v>
      </c>
      <c r="E298" t="s">
        <v>12</v>
      </c>
      <c r="F298">
        <v>-8.76</v>
      </c>
      <c r="G298">
        <v>0.87309999999999999</v>
      </c>
      <c r="H298">
        <v>7.694</v>
      </c>
      <c r="I298">
        <v>6.7176314000000001</v>
      </c>
      <c r="K298" t="str">
        <f>INDEX([1]Sheet1!$A$1:$G$108, MATCH(B298,[1]Sheet1!$B:$B,0), 1)</f>
        <v>HPTE</v>
      </c>
      <c r="L298" t="str">
        <f>INDEX([1]Sheet1!$A$1:$G$108, MATCH(B298,[1]Sheet1!$B:$B,0), 3)</f>
        <v>moderate</v>
      </c>
      <c r="M298" t="s">
        <v>109</v>
      </c>
    </row>
    <row r="299" spans="1:13" x14ac:dyDescent="0.3">
      <c r="A299" t="s">
        <v>53</v>
      </c>
      <c r="B299" t="str">
        <f>_xlfn.TEXTBEFORE(_xlfn.TEXTAFTER(A299,"cas-"),"_")</f>
        <v>2971-36-0</v>
      </c>
      <c r="C299" t="s">
        <v>30</v>
      </c>
      <c r="D299" t="s">
        <v>31</v>
      </c>
      <c r="E299" t="s">
        <v>12</v>
      </c>
      <c r="F299">
        <v>-8.77</v>
      </c>
      <c r="G299">
        <v>0.97660000000000002</v>
      </c>
      <c r="H299">
        <v>7.9329999999999998</v>
      </c>
      <c r="I299">
        <v>7.7473678000000001</v>
      </c>
      <c r="K299" t="str">
        <f>INDEX([1]Sheet1!$A$1:$G$108, MATCH(B299,[1]Sheet1!$B:$B,0), 1)</f>
        <v>HPTE</v>
      </c>
      <c r="L299" t="str">
        <f>INDEX([1]Sheet1!$A$1:$G$108, MATCH(B299,[1]Sheet1!$B:$B,0), 3)</f>
        <v>moderate</v>
      </c>
      <c r="M299" t="s">
        <v>109</v>
      </c>
    </row>
    <row r="300" spans="1:13" x14ac:dyDescent="0.3">
      <c r="A300" t="s">
        <v>53</v>
      </c>
      <c r="B300" t="str">
        <f>_xlfn.TEXTBEFORE(_xlfn.TEXTAFTER(A300,"cas-"),"_")</f>
        <v>2971-36-0</v>
      </c>
      <c r="C300" t="s">
        <v>26</v>
      </c>
      <c r="D300" t="s">
        <v>14</v>
      </c>
      <c r="E300" t="s">
        <v>12</v>
      </c>
      <c r="F300">
        <v>-8.1</v>
      </c>
      <c r="G300">
        <v>0.96850000000000003</v>
      </c>
      <c r="H300">
        <v>7.8730000000000002</v>
      </c>
      <c r="I300">
        <v>7.6250005000000014</v>
      </c>
      <c r="K300" t="str">
        <f>INDEX([1]Sheet1!$A$1:$G$108, MATCH(B300,[1]Sheet1!$B:$B,0), 1)</f>
        <v>HPTE</v>
      </c>
      <c r="L300" t="str">
        <f>INDEX([1]Sheet1!$A$1:$G$108, MATCH(B300,[1]Sheet1!$B:$B,0), 3)</f>
        <v>moderate</v>
      </c>
      <c r="M300" t="s">
        <v>109</v>
      </c>
    </row>
    <row r="301" spans="1:13" x14ac:dyDescent="0.3">
      <c r="A301" t="s">
        <v>54</v>
      </c>
      <c r="B301" t="str">
        <f>_xlfn.TEXTBEFORE(_xlfn.TEXTAFTER(A301,"cas-"),"_")</f>
        <v>3434-79-5</v>
      </c>
      <c r="C301" t="s">
        <v>18</v>
      </c>
      <c r="D301" t="s">
        <v>11</v>
      </c>
      <c r="E301" t="s">
        <v>12</v>
      </c>
      <c r="F301">
        <v>-6.38</v>
      </c>
      <c r="G301">
        <v>0.74680000000000002</v>
      </c>
      <c r="H301">
        <v>7.9589999999999996</v>
      </c>
      <c r="I301">
        <v>5.9437812000000001</v>
      </c>
      <c r="K301" t="str">
        <f>INDEX([1]Sheet1!$A$1:$G$108, MATCH(B301,[1]Sheet1!$B:$B,0), 1)</f>
        <v>3-Methyl-estriol</v>
      </c>
      <c r="L301" t="str">
        <f>INDEX([1]Sheet1!$A$1:$G$108, MATCH(B301,[1]Sheet1!$B:$B,0), 3)</f>
        <v>moderate</v>
      </c>
      <c r="M301" t="s">
        <v>109</v>
      </c>
    </row>
    <row r="302" spans="1:13" x14ac:dyDescent="0.3">
      <c r="A302" t="s">
        <v>54</v>
      </c>
      <c r="B302" t="str">
        <f>_xlfn.TEXTBEFORE(_xlfn.TEXTAFTER(A302,"cas-"),"_")</f>
        <v>3434-79-5</v>
      </c>
      <c r="C302" t="s">
        <v>15</v>
      </c>
      <c r="D302" t="s">
        <v>16</v>
      </c>
      <c r="E302" t="s">
        <v>12</v>
      </c>
      <c r="F302">
        <v>-8.99</v>
      </c>
      <c r="G302">
        <v>0.64739999999999998</v>
      </c>
      <c r="H302">
        <v>7.63</v>
      </c>
      <c r="I302">
        <v>4.9396619999999993</v>
      </c>
      <c r="K302" t="str">
        <f>INDEX([1]Sheet1!$A$1:$G$108, MATCH(B302,[1]Sheet1!$B:$B,0), 1)</f>
        <v>3-Methyl-estriol</v>
      </c>
      <c r="L302" t="str">
        <f>INDEX([1]Sheet1!$A$1:$G$108, MATCH(B302,[1]Sheet1!$B:$B,0), 3)</f>
        <v>moderate</v>
      </c>
      <c r="M302" t="s">
        <v>109</v>
      </c>
    </row>
    <row r="303" spans="1:13" x14ac:dyDescent="0.3">
      <c r="A303" t="s">
        <v>54</v>
      </c>
      <c r="B303" t="str">
        <f>_xlfn.TEXTBEFORE(_xlfn.TEXTAFTER(A303,"cas-"),"_")</f>
        <v>3434-79-5</v>
      </c>
      <c r="C303" t="s">
        <v>26</v>
      </c>
      <c r="D303" t="s">
        <v>14</v>
      </c>
      <c r="E303" t="s">
        <v>12</v>
      </c>
      <c r="F303">
        <v>-7.58</v>
      </c>
      <c r="G303">
        <v>0.79510000000000003</v>
      </c>
      <c r="H303">
        <v>8.0139999999999993</v>
      </c>
      <c r="I303">
        <v>6.3719313999999994</v>
      </c>
      <c r="K303" t="str">
        <f>INDEX([1]Sheet1!$A$1:$G$108, MATCH(B303,[1]Sheet1!$B:$B,0), 1)</f>
        <v>3-Methyl-estriol</v>
      </c>
      <c r="L303" t="str">
        <f>INDEX([1]Sheet1!$A$1:$G$108, MATCH(B303,[1]Sheet1!$B:$B,0), 3)</f>
        <v>moderate</v>
      </c>
      <c r="M303" t="s">
        <v>109</v>
      </c>
    </row>
    <row r="304" spans="1:13" x14ac:dyDescent="0.3">
      <c r="A304" t="s">
        <v>54</v>
      </c>
      <c r="B304" t="str">
        <f>_xlfn.TEXTBEFORE(_xlfn.TEXTAFTER(A304,"cas-"),"_")</f>
        <v>3434-79-5</v>
      </c>
      <c r="C304" t="s">
        <v>17</v>
      </c>
      <c r="D304" t="s">
        <v>11</v>
      </c>
      <c r="E304" t="s">
        <v>12</v>
      </c>
      <c r="F304">
        <v>-9.66</v>
      </c>
      <c r="G304">
        <v>0.69799999999999995</v>
      </c>
      <c r="H304">
        <v>7.6609999999999996</v>
      </c>
      <c r="I304">
        <v>5.3473779999999991</v>
      </c>
      <c r="K304" t="str">
        <f>INDEX([1]Sheet1!$A$1:$G$108, MATCH(B304,[1]Sheet1!$B:$B,0), 1)</f>
        <v>3-Methyl-estriol</v>
      </c>
      <c r="L304" t="str">
        <f>INDEX([1]Sheet1!$A$1:$G$108, MATCH(B304,[1]Sheet1!$B:$B,0), 3)</f>
        <v>moderate</v>
      </c>
      <c r="M304" t="s">
        <v>109</v>
      </c>
    </row>
    <row r="305" spans="1:13" x14ac:dyDescent="0.3">
      <c r="A305" t="s">
        <v>54</v>
      </c>
      <c r="B305" t="str">
        <f>_xlfn.TEXTBEFORE(_xlfn.TEXTAFTER(A305,"cas-"),"_")</f>
        <v>3434-79-5</v>
      </c>
      <c r="C305" t="s">
        <v>21</v>
      </c>
      <c r="D305" t="s">
        <v>11</v>
      </c>
      <c r="E305" t="s">
        <v>12</v>
      </c>
      <c r="F305">
        <v>-10.199999999999999</v>
      </c>
      <c r="G305">
        <v>0.81040000000000001</v>
      </c>
      <c r="H305">
        <v>7.65</v>
      </c>
      <c r="I305">
        <v>6.19956</v>
      </c>
      <c r="K305" t="str">
        <f>INDEX([1]Sheet1!$A$1:$G$108, MATCH(B305,[1]Sheet1!$B:$B,0), 1)</f>
        <v>3-Methyl-estriol</v>
      </c>
      <c r="L305" t="str">
        <f>INDEX([1]Sheet1!$A$1:$G$108, MATCH(B305,[1]Sheet1!$B:$B,0), 3)</f>
        <v>moderate</v>
      </c>
      <c r="M305" t="s">
        <v>109</v>
      </c>
    </row>
    <row r="306" spans="1:13" x14ac:dyDescent="0.3">
      <c r="A306" t="s">
        <v>54</v>
      </c>
      <c r="B306" t="str">
        <f>_xlfn.TEXTBEFORE(_xlfn.TEXTAFTER(A306,"cas-"),"_")</f>
        <v>3434-79-5</v>
      </c>
      <c r="C306" t="s">
        <v>27</v>
      </c>
      <c r="D306" t="s">
        <v>11</v>
      </c>
      <c r="E306" t="s">
        <v>12</v>
      </c>
      <c r="F306">
        <v>-4.51</v>
      </c>
      <c r="G306">
        <v>0.69699999999999995</v>
      </c>
      <c r="H306">
        <v>7.86</v>
      </c>
      <c r="I306">
        <v>5.4784199999999998</v>
      </c>
      <c r="K306" t="str">
        <f>INDEX([1]Sheet1!$A$1:$G$108, MATCH(B306,[1]Sheet1!$B:$B,0), 1)</f>
        <v>3-Methyl-estriol</v>
      </c>
      <c r="L306" t="str">
        <f>INDEX([1]Sheet1!$A$1:$G$108, MATCH(B306,[1]Sheet1!$B:$B,0), 3)</f>
        <v>moderate</v>
      </c>
      <c r="M306" t="s">
        <v>109</v>
      </c>
    </row>
    <row r="307" spans="1:13" x14ac:dyDescent="0.3">
      <c r="A307" t="s">
        <v>54</v>
      </c>
      <c r="B307" t="str">
        <f>_xlfn.TEXTBEFORE(_xlfn.TEXTAFTER(A307,"cas-"),"_")</f>
        <v>3434-79-5</v>
      </c>
      <c r="C307" t="s">
        <v>22</v>
      </c>
      <c r="D307" t="s">
        <v>23</v>
      </c>
      <c r="E307" t="s">
        <v>12</v>
      </c>
      <c r="F307">
        <v>-9.4700000000000006</v>
      </c>
      <c r="G307">
        <v>0.68110000000000004</v>
      </c>
      <c r="H307">
        <v>7.6429999999999998</v>
      </c>
      <c r="I307">
        <v>5.2056472999999999</v>
      </c>
      <c r="K307" t="str">
        <f>INDEX([1]Sheet1!$A$1:$G$108, MATCH(B307,[1]Sheet1!$B:$B,0), 1)</f>
        <v>3-Methyl-estriol</v>
      </c>
      <c r="L307" t="str">
        <f>INDEX([1]Sheet1!$A$1:$G$108, MATCH(B307,[1]Sheet1!$B:$B,0), 3)</f>
        <v>moderate</v>
      </c>
      <c r="M307" t="s">
        <v>109</v>
      </c>
    </row>
    <row r="308" spans="1:13" x14ac:dyDescent="0.3">
      <c r="A308" t="s">
        <v>54</v>
      </c>
      <c r="B308" t="str">
        <f>_xlfn.TEXTBEFORE(_xlfn.TEXTAFTER(A308,"cas-"),"_")</f>
        <v>3434-79-5</v>
      </c>
      <c r="C308" t="s">
        <v>24</v>
      </c>
      <c r="D308" t="s">
        <v>25</v>
      </c>
      <c r="E308" t="s">
        <v>12</v>
      </c>
      <c r="F308">
        <v>-5.89</v>
      </c>
      <c r="G308">
        <v>0.64680000000000004</v>
      </c>
      <c r="H308">
        <v>7.4550000000000001</v>
      </c>
      <c r="I308">
        <v>4.8218940000000003</v>
      </c>
      <c r="K308" t="str">
        <f>INDEX([1]Sheet1!$A$1:$G$108, MATCH(B308,[1]Sheet1!$B:$B,0), 1)</f>
        <v>3-Methyl-estriol</v>
      </c>
      <c r="L308" t="str">
        <f>INDEX([1]Sheet1!$A$1:$G$108, MATCH(B308,[1]Sheet1!$B:$B,0), 3)</f>
        <v>moderate</v>
      </c>
      <c r="M308" t="s">
        <v>109</v>
      </c>
    </row>
    <row r="309" spans="1:13" x14ac:dyDescent="0.3">
      <c r="A309" t="s">
        <v>54</v>
      </c>
      <c r="B309" t="str">
        <f>_xlfn.TEXTBEFORE(_xlfn.TEXTAFTER(A309,"cas-"),"_")</f>
        <v>3434-79-5</v>
      </c>
      <c r="C309" t="s">
        <v>13</v>
      </c>
      <c r="D309" t="s">
        <v>14</v>
      </c>
      <c r="E309" t="s">
        <v>12</v>
      </c>
      <c r="F309">
        <v>-7.74</v>
      </c>
      <c r="G309">
        <v>0.71009999999999995</v>
      </c>
      <c r="H309">
        <v>7.9930000000000003</v>
      </c>
      <c r="I309">
        <v>5.6758293000000002</v>
      </c>
      <c r="K309" t="str">
        <f>INDEX([1]Sheet1!$A$1:$G$108, MATCH(B309,[1]Sheet1!$B:$B,0), 1)</f>
        <v>3-Methyl-estriol</v>
      </c>
      <c r="L309" t="str">
        <f>INDEX([1]Sheet1!$A$1:$G$108, MATCH(B309,[1]Sheet1!$B:$B,0), 3)</f>
        <v>moderate</v>
      </c>
      <c r="M309" t="s">
        <v>109</v>
      </c>
    </row>
    <row r="310" spans="1:13" x14ac:dyDescent="0.3">
      <c r="A310" t="s">
        <v>54</v>
      </c>
      <c r="B310" t="str">
        <f>_xlfn.TEXTBEFORE(_xlfn.TEXTAFTER(A310,"cas-"),"_")</f>
        <v>3434-79-5</v>
      </c>
      <c r="C310" t="s">
        <v>19</v>
      </c>
      <c r="D310" t="s">
        <v>20</v>
      </c>
      <c r="E310" t="s">
        <v>12</v>
      </c>
      <c r="F310">
        <v>-5.5</v>
      </c>
      <c r="G310">
        <v>0.59289999999999998</v>
      </c>
      <c r="H310">
        <v>7.2850000000000001</v>
      </c>
      <c r="I310">
        <v>4.3192765</v>
      </c>
      <c r="K310" t="str">
        <f>INDEX([1]Sheet1!$A$1:$G$108, MATCH(B310,[1]Sheet1!$B:$B,0), 1)</f>
        <v>3-Methyl-estriol</v>
      </c>
      <c r="L310" t="str">
        <f>INDEX([1]Sheet1!$A$1:$G$108, MATCH(B310,[1]Sheet1!$B:$B,0), 3)</f>
        <v>moderate</v>
      </c>
      <c r="M310" t="s">
        <v>109</v>
      </c>
    </row>
    <row r="311" spans="1:13" x14ac:dyDescent="0.3">
      <c r="A311" t="s">
        <v>54</v>
      </c>
      <c r="B311" t="str">
        <f>_xlfn.TEXTBEFORE(_xlfn.TEXTAFTER(A311,"cas-"),"_")</f>
        <v>3434-79-5</v>
      </c>
      <c r="C311" t="s">
        <v>10</v>
      </c>
      <c r="D311" t="s">
        <v>11</v>
      </c>
      <c r="E311" t="s">
        <v>12</v>
      </c>
      <c r="F311">
        <v>-6.04</v>
      </c>
      <c r="G311">
        <v>0.75170000000000003</v>
      </c>
      <c r="H311">
        <v>7.827</v>
      </c>
      <c r="I311">
        <v>5.8835559000000002</v>
      </c>
      <c r="K311" t="str">
        <f>INDEX([1]Sheet1!$A$1:$G$108, MATCH(B311,[1]Sheet1!$B:$B,0), 1)</f>
        <v>3-Methyl-estriol</v>
      </c>
      <c r="L311" t="str">
        <f>INDEX([1]Sheet1!$A$1:$G$108, MATCH(B311,[1]Sheet1!$B:$B,0), 3)</f>
        <v>moderate</v>
      </c>
      <c r="M311" t="s">
        <v>109</v>
      </c>
    </row>
    <row r="312" spans="1:13" x14ac:dyDescent="0.3">
      <c r="A312" t="s">
        <v>54</v>
      </c>
      <c r="B312" t="str">
        <f>_xlfn.TEXTBEFORE(_xlfn.TEXTAFTER(A312,"cas-"),"_")</f>
        <v>3434-79-5</v>
      </c>
      <c r="C312" t="s">
        <v>30</v>
      </c>
      <c r="D312" t="s">
        <v>31</v>
      </c>
      <c r="E312" t="s">
        <v>12</v>
      </c>
      <c r="F312">
        <v>-6.71</v>
      </c>
      <c r="G312">
        <v>0.61409999999999998</v>
      </c>
      <c r="H312">
        <v>7.7409999999999997</v>
      </c>
      <c r="I312">
        <v>4.7537480999999993</v>
      </c>
      <c r="K312" t="str">
        <f>INDEX([1]Sheet1!$A$1:$G$108, MATCH(B312,[1]Sheet1!$B:$B,0), 1)</f>
        <v>3-Methyl-estriol</v>
      </c>
      <c r="L312" t="str">
        <f>INDEX([1]Sheet1!$A$1:$G$108, MATCH(B312,[1]Sheet1!$B:$B,0), 3)</f>
        <v>moderate</v>
      </c>
      <c r="M312" t="s">
        <v>109</v>
      </c>
    </row>
    <row r="313" spans="1:13" x14ac:dyDescent="0.3">
      <c r="A313" t="s">
        <v>54</v>
      </c>
      <c r="B313" t="str">
        <f>_xlfn.TEXTBEFORE(_xlfn.TEXTAFTER(A313,"cas-"),"_")</f>
        <v>3434-79-5</v>
      </c>
      <c r="C313" t="s">
        <v>28</v>
      </c>
      <c r="D313" t="s">
        <v>29</v>
      </c>
      <c r="E313" t="s">
        <v>12</v>
      </c>
      <c r="F313">
        <v>-4.38</v>
      </c>
      <c r="G313">
        <v>0.71730000000000005</v>
      </c>
      <c r="H313">
        <v>7.7119999999999997</v>
      </c>
      <c r="I313">
        <v>5.5318176000000001</v>
      </c>
      <c r="K313" t="str">
        <f>INDEX([1]Sheet1!$A$1:$G$108, MATCH(B313,[1]Sheet1!$B:$B,0), 1)</f>
        <v>3-Methyl-estriol</v>
      </c>
      <c r="L313" t="str">
        <f>INDEX([1]Sheet1!$A$1:$G$108, MATCH(B313,[1]Sheet1!$B:$B,0), 3)</f>
        <v>moderate</v>
      </c>
      <c r="M313" t="s">
        <v>109</v>
      </c>
    </row>
    <row r="314" spans="1:13" x14ac:dyDescent="0.3">
      <c r="A314" t="s">
        <v>55</v>
      </c>
      <c r="B314" t="str">
        <f>_xlfn.TEXTBEFORE(_xlfn.TEXTAFTER(A314,"cas-"),"_")</f>
        <v>3601-97-6</v>
      </c>
      <c r="C314" t="s">
        <v>10</v>
      </c>
      <c r="D314" t="s">
        <v>11</v>
      </c>
      <c r="E314" t="s">
        <v>12</v>
      </c>
      <c r="F314">
        <v>-11.2</v>
      </c>
      <c r="G314">
        <v>0.98480000000000001</v>
      </c>
      <c r="H314">
        <v>7.8639999999999999</v>
      </c>
      <c r="I314">
        <v>7.7444671999999999</v>
      </c>
      <c r="K314" t="str">
        <f>INDEX([1]Sheet1!$A$1:$G$108, MATCH(B314,[1]Sheet1!$B:$B,0), 1)</f>
        <v>"3-OH-Estra-1,3,5(10)-trien-16-one"</v>
      </c>
      <c r="L314" t="str">
        <f>INDEX([1]Sheet1!$A$1:$G$108, MATCH(B314,[1]Sheet1!$B:$B,0), 3)</f>
        <v>moderate</v>
      </c>
      <c r="M314" t="s">
        <v>109</v>
      </c>
    </row>
    <row r="315" spans="1:13" x14ac:dyDescent="0.3">
      <c r="A315" t="s">
        <v>55</v>
      </c>
      <c r="B315" t="str">
        <f>_xlfn.TEXTBEFORE(_xlfn.TEXTAFTER(A315,"cas-"),"_")</f>
        <v>3601-97-6</v>
      </c>
      <c r="C315" t="s">
        <v>26</v>
      </c>
      <c r="D315" t="s">
        <v>14</v>
      </c>
      <c r="E315" t="s">
        <v>12</v>
      </c>
      <c r="F315">
        <v>-11.11</v>
      </c>
      <c r="G315">
        <v>0.98129999999999995</v>
      </c>
      <c r="H315">
        <v>7.8810000000000002</v>
      </c>
      <c r="I315">
        <v>7.7336252999999999</v>
      </c>
      <c r="K315" t="str">
        <f>INDEX([1]Sheet1!$A$1:$G$108, MATCH(B315,[1]Sheet1!$B:$B,0), 1)</f>
        <v>"3-OH-Estra-1,3,5(10)-trien-16-one"</v>
      </c>
      <c r="L315" t="str">
        <f>INDEX([1]Sheet1!$A$1:$G$108, MATCH(B315,[1]Sheet1!$B:$B,0), 3)</f>
        <v>moderate</v>
      </c>
      <c r="M315" t="s">
        <v>109</v>
      </c>
    </row>
    <row r="316" spans="1:13" x14ac:dyDescent="0.3">
      <c r="A316" t="s">
        <v>55</v>
      </c>
      <c r="B316" t="str">
        <f>_xlfn.TEXTBEFORE(_xlfn.TEXTAFTER(A316,"cas-"),"_")</f>
        <v>3601-97-6</v>
      </c>
      <c r="C316" t="s">
        <v>13</v>
      </c>
      <c r="D316" t="s">
        <v>14</v>
      </c>
      <c r="E316" t="s">
        <v>12</v>
      </c>
      <c r="F316">
        <v>-11.41</v>
      </c>
      <c r="G316">
        <v>0.9879</v>
      </c>
      <c r="H316">
        <v>8.4540000000000006</v>
      </c>
      <c r="I316">
        <v>8.3517066</v>
      </c>
      <c r="K316" t="str">
        <f>INDEX([1]Sheet1!$A$1:$G$108, MATCH(B316,[1]Sheet1!$B:$B,0), 1)</f>
        <v>"3-OH-Estra-1,3,5(10)-trien-16-one"</v>
      </c>
      <c r="L316" t="str">
        <f>INDEX([1]Sheet1!$A$1:$G$108, MATCH(B316,[1]Sheet1!$B:$B,0), 3)</f>
        <v>moderate</v>
      </c>
      <c r="M316" t="s">
        <v>109</v>
      </c>
    </row>
    <row r="317" spans="1:13" x14ac:dyDescent="0.3">
      <c r="A317" t="s">
        <v>55</v>
      </c>
      <c r="B317" t="str">
        <f>_xlfn.TEXTBEFORE(_xlfn.TEXTAFTER(A317,"cas-"),"_")</f>
        <v>3601-97-6</v>
      </c>
      <c r="C317" t="s">
        <v>15</v>
      </c>
      <c r="D317" t="s">
        <v>16</v>
      </c>
      <c r="E317" t="s">
        <v>12</v>
      </c>
      <c r="F317">
        <v>-11.27</v>
      </c>
      <c r="G317">
        <v>0.98070000000000002</v>
      </c>
      <c r="H317">
        <v>7.7450000000000001</v>
      </c>
      <c r="I317">
        <v>7.5955215000000003</v>
      </c>
      <c r="K317" t="str">
        <f>INDEX([1]Sheet1!$A$1:$G$108, MATCH(B317,[1]Sheet1!$B:$B,0), 1)</f>
        <v>"3-OH-Estra-1,3,5(10)-trien-16-one"</v>
      </c>
      <c r="L317" t="str">
        <f>INDEX([1]Sheet1!$A$1:$G$108, MATCH(B317,[1]Sheet1!$B:$B,0), 3)</f>
        <v>moderate</v>
      </c>
      <c r="M317" t="s">
        <v>109</v>
      </c>
    </row>
    <row r="318" spans="1:13" x14ac:dyDescent="0.3">
      <c r="A318" t="s">
        <v>55</v>
      </c>
      <c r="B318" t="str">
        <f>_xlfn.TEXTBEFORE(_xlfn.TEXTAFTER(A318,"cas-"),"_")</f>
        <v>3601-97-6</v>
      </c>
      <c r="C318" t="s">
        <v>22</v>
      </c>
      <c r="D318" t="s">
        <v>23</v>
      </c>
      <c r="E318" t="s">
        <v>12</v>
      </c>
      <c r="F318">
        <v>-10.55</v>
      </c>
      <c r="G318">
        <v>0.95309999999999995</v>
      </c>
      <c r="H318">
        <v>7.6779999999999999</v>
      </c>
      <c r="I318">
        <v>7.3179017999999996</v>
      </c>
      <c r="K318" t="str">
        <f>INDEX([1]Sheet1!$A$1:$G$108, MATCH(B318,[1]Sheet1!$B:$B,0), 1)</f>
        <v>"3-OH-Estra-1,3,5(10)-trien-16-one"</v>
      </c>
      <c r="L318" t="str">
        <f>INDEX([1]Sheet1!$A$1:$G$108, MATCH(B318,[1]Sheet1!$B:$B,0), 3)</f>
        <v>moderate</v>
      </c>
      <c r="M318" t="s">
        <v>109</v>
      </c>
    </row>
    <row r="319" spans="1:13" x14ac:dyDescent="0.3">
      <c r="A319" t="s">
        <v>55</v>
      </c>
      <c r="B319" t="str">
        <f>_xlfn.TEXTBEFORE(_xlfn.TEXTAFTER(A319,"cas-"),"_")</f>
        <v>3601-97-6</v>
      </c>
      <c r="C319" t="s">
        <v>21</v>
      </c>
      <c r="D319" t="s">
        <v>11</v>
      </c>
      <c r="E319" t="s">
        <v>12</v>
      </c>
      <c r="F319">
        <v>-11.24</v>
      </c>
      <c r="G319">
        <v>0.97689999999999999</v>
      </c>
      <c r="H319">
        <v>7.9180000000000001</v>
      </c>
      <c r="I319">
        <v>7.7350941999999998</v>
      </c>
      <c r="K319" t="str">
        <f>INDEX([1]Sheet1!$A$1:$G$108, MATCH(B319,[1]Sheet1!$B:$B,0), 1)</f>
        <v>"3-OH-Estra-1,3,5(10)-trien-16-one"</v>
      </c>
      <c r="L319" t="str">
        <f>INDEX([1]Sheet1!$A$1:$G$108, MATCH(B319,[1]Sheet1!$B:$B,0), 3)</f>
        <v>moderate</v>
      </c>
      <c r="M319" t="s">
        <v>109</v>
      </c>
    </row>
    <row r="320" spans="1:13" x14ac:dyDescent="0.3">
      <c r="A320" t="s">
        <v>55</v>
      </c>
      <c r="B320" t="str">
        <f>_xlfn.TEXTBEFORE(_xlfn.TEXTAFTER(A320,"cas-"),"_")</f>
        <v>3601-97-6</v>
      </c>
      <c r="C320" t="s">
        <v>24</v>
      </c>
      <c r="D320" t="s">
        <v>25</v>
      </c>
      <c r="E320" t="s">
        <v>12</v>
      </c>
      <c r="F320">
        <v>-11.1</v>
      </c>
      <c r="G320">
        <v>0.97640000000000005</v>
      </c>
      <c r="H320">
        <v>8.0760000000000005</v>
      </c>
      <c r="I320">
        <v>7.8854064000000008</v>
      </c>
      <c r="K320" t="str">
        <f>INDEX([1]Sheet1!$A$1:$G$108, MATCH(B320,[1]Sheet1!$B:$B,0), 1)</f>
        <v>"3-OH-Estra-1,3,5(10)-trien-16-one"</v>
      </c>
      <c r="L320" t="str">
        <f>INDEX([1]Sheet1!$A$1:$G$108, MATCH(B320,[1]Sheet1!$B:$B,0), 3)</f>
        <v>moderate</v>
      </c>
      <c r="M320" t="s">
        <v>109</v>
      </c>
    </row>
    <row r="321" spans="1:13" x14ac:dyDescent="0.3">
      <c r="A321" t="s">
        <v>55</v>
      </c>
      <c r="B321" t="str">
        <f>_xlfn.TEXTBEFORE(_xlfn.TEXTAFTER(A321,"cas-"),"_")</f>
        <v>3601-97-6</v>
      </c>
      <c r="C321" t="s">
        <v>28</v>
      </c>
      <c r="D321" t="s">
        <v>29</v>
      </c>
      <c r="E321" t="s">
        <v>12</v>
      </c>
      <c r="F321">
        <v>-9.6</v>
      </c>
      <c r="G321">
        <v>0.93379999999999996</v>
      </c>
      <c r="H321">
        <v>8.0190000000000001</v>
      </c>
      <c r="I321">
        <v>7.4881422000000004</v>
      </c>
      <c r="K321" t="str">
        <f>INDEX([1]Sheet1!$A$1:$G$108, MATCH(B321,[1]Sheet1!$B:$B,0), 1)</f>
        <v>"3-OH-Estra-1,3,5(10)-trien-16-one"</v>
      </c>
      <c r="L321" t="str">
        <f>INDEX([1]Sheet1!$A$1:$G$108, MATCH(B321,[1]Sheet1!$B:$B,0), 3)</f>
        <v>moderate</v>
      </c>
      <c r="M321" t="s">
        <v>109</v>
      </c>
    </row>
    <row r="322" spans="1:13" x14ac:dyDescent="0.3">
      <c r="A322" t="s">
        <v>55</v>
      </c>
      <c r="B322" t="str">
        <f>_xlfn.TEXTBEFORE(_xlfn.TEXTAFTER(A322,"cas-"),"_")</f>
        <v>3601-97-6</v>
      </c>
      <c r="C322" t="s">
        <v>30</v>
      </c>
      <c r="D322" t="s">
        <v>31</v>
      </c>
      <c r="E322" t="s">
        <v>12</v>
      </c>
      <c r="F322">
        <v>-8.2200000000000006</v>
      </c>
      <c r="G322">
        <v>0.90690000000000004</v>
      </c>
      <c r="H322">
        <v>7.8390000000000004</v>
      </c>
      <c r="I322">
        <v>7.1091891000000009</v>
      </c>
      <c r="K322" t="str">
        <f>INDEX([1]Sheet1!$A$1:$G$108, MATCH(B322,[1]Sheet1!$B:$B,0), 1)</f>
        <v>"3-OH-Estra-1,3,5(10)-trien-16-one"</v>
      </c>
      <c r="L322" t="str">
        <f>INDEX([1]Sheet1!$A$1:$G$108, MATCH(B322,[1]Sheet1!$B:$B,0), 3)</f>
        <v>moderate</v>
      </c>
      <c r="M322" t="s">
        <v>109</v>
      </c>
    </row>
    <row r="323" spans="1:13" x14ac:dyDescent="0.3">
      <c r="A323" t="s">
        <v>55</v>
      </c>
      <c r="B323" t="str">
        <f>_xlfn.TEXTBEFORE(_xlfn.TEXTAFTER(A323,"cas-"),"_")</f>
        <v>3601-97-6</v>
      </c>
      <c r="C323" t="s">
        <v>27</v>
      </c>
      <c r="D323" t="s">
        <v>11</v>
      </c>
      <c r="E323" t="s">
        <v>12</v>
      </c>
      <c r="F323">
        <v>-11.45</v>
      </c>
      <c r="G323">
        <v>0.98089999999999999</v>
      </c>
      <c r="H323">
        <v>8.0530000000000008</v>
      </c>
      <c r="I323">
        <v>7.8991877000000006</v>
      </c>
      <c r="K323" t="str">
        <f>INDEX([1]Sheet1!$A$1:$G$108, MATCH(B323,[1]Sheet1!$B:$B,0), 1)</f>
        <v>"3-OH-Estra-1,3,5(10)-trien-16-one"</v>
      </c>
      <c r="L323" t="str">
        <f>INDEX([1]Sheet1!$A$1:$G$108, MATCH(B323,[1]Sheet1!$B:$B,0), 3)</f>
        <v>moderate</v>
      </c>
      <c r="M323" t="s">
        <v>109</v>
      </c>
    </row>
    <row r="324" spans="1:13" x14ac:dyDescent="0.3">
      <c r="A324" t="s">
        <v>55</v>
      </c>
      <c r="B324" t="str">
        <f>_xlfn.TEXTBEFORE(_xlfn.TEXTAFTER(A324,"cas-"),"_")</f>
        <v>3601-97-6</v>
      </c>
      <c r="C324" t="s">
        <v>19</v>
      </c>
      <c r="D324" t="s">
        <v>20</v>
      </c>
      <c r="E324" t="s">
        <v>12</v>
      </c>
      <c r="F324">
        <v>-10.94</v>
      </c>
      <c r="G324">
        <v>0.98180000000000001</v>
      </c>
      <c r="H324">
        <v>8.0730000000000004</v>
      </c>
      <c r="I324">
        <v>7.9260714000000014</v>
      </c>
      <c r="K324" t="str">
        <f>INDEX([1]Sheet1!$A$1:$G$108, MATCH(B324,[1]Sheet1!$B:$B,0), 1)</f>
        <v>"3-OH-Estra-1,3,5(10)-trien-16-one"</v>
      </c>
      <c r="L324" t="str">
        <f>INDEX([1]Sheet1!$A$1:$G$108, MATCH(B324,[1]Sheet1!$B:$B,0), 3)</f>
        <v>moderate</v>
      </c>
      <c r="M324" t="s">
        <v>109</v>
      </c>
    </row>
    <row r="325" spans="1:13" x14ac:dyDescent="0.3">
      <c r="A325" t="s">
        <v>55</v>
      </c>
      <c r="B325" t="str">
        <f>_xlfn.TEXTBEFORE(_xlfn.TEXTAFTER(A325,"cas-"),"_")</f>
        <v>3601-97-6</v>
      </c>
      <c r="C325" t="s">
        <v>18</v>
      </c>
      <c r="D325" t="s">
        <v>11</v>
      </c>
      <c r="E325" t="s">
        <v>12</v>
      </c>
      <c r="F325">
        <v>-11.14</v>
      </c>
      <c r="G325">
        <v>0.9869</v>
      </c>
      <c r="H325">
        <v>8.1950000000000003</v>
      </c>
      <c r="I325">
        <v>8.0876455000000007</v>
      </c>
      <c r="K325" t="str">
        <f>INDEX([1]Sheet1!$A$1:$G$108, MATCH(B325,[1]Sheet1!$B:$B,0), 1)</f>
        <v>"3-OH-Estra-1,3,5(10)-trien-16-one"</v>
      </c>
      <c r="L325" t="str">
        <f>INDEX([1]Sheet1!$A$1:$G$108, MATCH(B325,[1]Sheet1!$B:$B,0), 3)</f>
        <v>moderate</v>
      </c>
      <c r="M325" t="s">
        <v>109</v>
      </c>
    </row>
    <row r="326" spans="1:13" x14ac:dyDescent="0.3">
      <c r="A326" t="s">
        <v>55</v>
      </c>
      <c r="B326" t="str">
        <f>_xlfn.TEXTBEFORE(_xlfn.TEXTAFTER(A326,"cas-"),"_")</f>
        <v>3601-97-6</v>
      </c>
      <c r="C326" t="s">
        <v>17</v>
      </c>
      <c r="D326" t="s">
        <v>11</v>
      </c>
      <c r="E326" t="s">
        <v>12</v>
      </c>
      <c r="F326">
        <v>-11.04</v>
      </c>
      <c r="G326">
        <v>0.97970000000000002</v>
      </c>
      <c r="H326">
        <v>7.8869999999999996</v>
      </c>
      <c r="I326">
        <v>7.7268938999999994</v>
      </c>
      <c r="K326" t="str">
        <f>INDEX([1]Sheet1!$A$1:$G$108, MATCH(B326,[1]Sheet1!$B:$B,0), 1)</f>
        <v>"3-OH-Estra-1,3,5(10)-trien-16-one"</v>
      </c>
      <c r="L326" t="str">
        <f>INDEX([1]Sheet1!$A$1:$G$108, MATCH(B326,[1]Sheet1!$B:$B,0), 3)</f>
        <v>moderate</v>
      </c>
      <c r="M326" t="s">
        <v>109</v>
      </c>
    </row>
    <row r="327" spans="1:13" x14ac:dyDescent="0.3">
      <c r="A327" t="s">
        <v>56</v>
      </c>
      <c r="B327" t="str">
        <f>_xlfn.TEXTBEFORE(_xlfn.TEXTAFTER(A327,"cas-"),"_")</f>
        <v>481-30-1</v>
      </c>
      <c r="C327" t="s">
        <v>26</v>
      </c>
      <c r="D327" t="s">
        <v>14</v>
      </c>
      <c r="E327" t="s">
        <v>12</v>
      </c>
      <c r="F327">
        <v>-9.11</v>
      </c>
      <c r="G327">
        <v>0.8165</v>
      </c>
      <c r="H327">
        <v>7.335</v>
      </c>
      <c r="I327">
        <v>5.9890274999999997</v>
      </c>
      <c r="K327" t="str">
        <f>INDEX([1]Sheet1!$A$1:$G$108, MATCH(B327,[1]Sheet1!$B:$B,0), 1)</f>
        <v>Epitestesterone</v>
      </c>
      <c r="L327" t="str">
        <f>INDEX([1]Sheet1!$A$1:$G$108, MATCH(B327,[1]Sheet1!$B:$B,0), 3)</f>
        <v>weak</v>
      </c>
      <c r="M327" t="s">
        <v>109</v>
      </c>
    </row>
    <row r="328" spans="1:13" x14ac:dyDescent="0.3">
      <c r="A328" t="s">
        <v>56</v>
      </c>
      <c r="B328" t="str">
        <f>_xlfn.TEXTBEFORE(_xlfn.TEXTAFTER(A328,"cas-"),"_")</f>
        <v>481-30-1</v>
      </c>
      <c r="C328" t="s">
        <v>10</v>
      </c>
      <c r="D328" t="s">
        <v>11</v>
      </c>
      <c r="E328" t="s">
        <v>12</v>
      </c>
      <c r="F328">
        <v>-10.25</v>
      </c>
      <c r="G328">
        <v>0.87909999999999999</v>
      </c>
      <c r="H328">
        <v>7.81</v>
      </c>
      <c r="I328">
        <v>6.8657709999999996</v>
      </c>
      <c r="K328" t="str">
        <f>INDEX([1]Sheet1!$A$1:$G$108, MATCH(B328,[1]Sheet1!$B:$B,0), 1)</f>
        <v>Epitestesterone</v>
      </c>
      <c r="L328" t="str">
        <f>INDEX([1]Sheet1!$A$1:$G$108, MATCH(B328,[1]Sheet1!$B:$B,0), 3)</f>
        <v>weak</v>
      </c>
      <c r="M328" t="s">
        <v>109</v>
      </c>
    </row>
    <row r="329" spans="1:13" x14ac:dyDescent="0.3">
      <c r="A329" t="s">
        <v>56</v>
      </c>
      <c r="B329" t="str">
        <f>_xlfn.TEXTBEFORE(_xlfn.TEXTAFTER(A329,"cas-"),"_")</f>
        <v>481-30-1</v>
      </c>
      <c r="C329" t="s">
        <v>24</v>
      </c>
      <c r="D329" t="s">
        <v>25</v>
      </c>
      <c r="E329" t="s">
        <v>12</v>
      </c>
      <c r="F329">
        <v>-9.82</v>
      </c>
      <c r="G329">
        <v>0.82299999999999995</v>
      </c>
      <c r="H329">
        <v>7.6479999999999997</v>
      </c>
      <c r="I329">
        <v>6.2943039999999986</v>
      </c>
      <c r="K329" t="str">
        <f>INDEX([1]Sheet1!$A$1:$G$108, MATCH(B329,[1]Sheet1!$B:$B,0), 1)</f>
        <v>Epitestesterone</v>
      </c>
      <c r="L329" t="str">
        <f>INDEX([1]Sheet1!$A$1:$G$108, MATCH(B329,[1]Sheet1!$B:$B,0), 3)</f>
        <v>weak</v>
      </c>
      <c r="M329" t="s">
        <v>109</v>
      </c>
    </row>
    <row r="330" spans="1:13" x14ac:dyDescent="0.3">
      <c r="A330" t="s">
        <v>56</v>
      </c>
      <c r="B330" t="str">
        <f>_xlfn.TEXTBEFORE(_xlfn.TEXTAFTER(A330,"cas-"),"_")</f>
        <v>481-30-1</v>
      </c>
      <c r="C330" t="s">
        <v>22</v>
      </c>
      <c r="D330" t="s">
        <v>23</v>
      </c>
      <c r="E330" t="s">
        <v>12</v>
      </c>
      <c r="F330">
        <v>-10.4</v>
      </c>
      <c r="G330">
        <v>0.86890000000000001</v>
      </c>
      <c r="H330">
        <v>7.4880000000000004</v>
      </c>
      <c r="I330">
        <v>6.5063232000000006</v>
      </c>
      <c r="K330" t="str">
        <f>INDEX([1]Sheet1!$A$1:$G$108, MATCH(B330,[1]Sheet1!$B:$B,0), 1)</f>
        <v>Epitestesterone</v>
      </c>
      <c r="L330" t="str">
        <f>INDEX([1]Sheet1!$A$1:$G$108, MATCH(B330,[1]Sheet1!$B:$B,0), 3)</f>
        <v>weak</v>
      </c>
      <c r="M330" t="s">
        <v>109</v>
      </c>
    </row>
    <row r="331" spans="1:13" x14ac:dyDescent="0.3">
      <c r="A331" t="s">
        <v>56</v>
      </c>
      <c r="B331" t="str">
        <f>_xlfn.TEXTBEFORE(_xlfn.TEXTAFTER(A331,"cas-"),"_")</f>
        <v>481-30-1</v>
      </c>
      <c r="C331" t="s">
        <v>17</v>
      </c>
      <c r="D331" t="s">
        <v>11</v>
      </c>
      <c r="E331" t="s">
        <v>12</v>
      </c>
      <c r="F331">
        <v>-10.06</v>
      </c>
      <c r="G331">
        <v>0.83699999999999997</v>
      </c>
      <c r="H331">
        <v>7.6879999999999997</v>
      </c>
      <c r="I331">
        <v>6.4348559999999999</v>
      </c>
      <c r="K331" t="str">
        <f>INDEX([1]Sheet1!$A$1:$G$108, MATCH(B331,[1]Sheet1!$B:$B,0), 1)</f>
        <v>Epitestesterone</v>
      </c>
      <c r="L331" t="str">
        <f>INDEX([1]Sheet1!$A$1:$G$108, MATCH(B331,[1]Sheet1!$B:$B,0), 3)</f>
        <v>weak</v>
      </c>
      <c r="M331" t="s">
        <v>109</v>
      </c>
    </row>
    <row r="332" spans="1:13" x14ac:dyDescent="0.3">
      <c r="A332" t="s">
        <v>56</v>
      </c>
      <c r="B332" t="str">
        <f>_xlfn.TEXTBEFORE(_xlfn.TEXTAFTER(A332,"cas-"),"_")</f>
        <v>481-30-1</v>
      </c>
      <c r="C332" t="s">
        <v>19</v>
      </c>
      <c r="D332" t="s">
        <v>20</v>
      </c>
      <c r="E332" t="s">
        <v>12</v>
      </c>
      <c r="F332">
        <v>-10.07</v>
      </c>
      <c r="G332">
        <v>0.83850000000000002</v>
      </c>
      <c r="H332">
        <v>7.6890000000000001</v>
      </c>
      <c r="I332">
        <v>6.4472265000000002</v>
      </c>
      <c r="K332" t="str">
        <f>INDEX([1]Sheet1!$A$1:$G$108, MATCH(B332,[1]Sheet1!$B:$B,0), 1)</f>
        <v>Epitestesterone</v>
      </c>
      <c r="L332" t="str">
        <f>INDEX([1]Sheet1!$A$1:$G$108, MATCH(B332,[1]Sheet1!$B:$B,0), 3)</f>
        <v>weak</v>
      </c>
      <c r="M332" t="s">
        <v>109</v>
      </c>
    </row>
    <row r="333" spans="1:13" x14ac:dyDescent="0.3">
      <c r="A333" t="s">
        <v>56</v>
      </c>
      <c r="B333" t="str">
        <f>_xlfn.TEXTBEFORE(_xlfn.TEXTAFTER(A333,"cas-"),"_")</f>
        <v>481-30-1</v>
      </c>
      <c r="C333" t="s">
        <v>27</v>
      </c>
      <c r="D333" t="s">
        <v>11</v>
      </c>
      <c r="E333" t="s">
        <v>12</v>
      </c>
      <c r="F333">
        <v>-10.42</v>
      </c>
      <c r="G333">
        <v>0.80569999999999997</v>
      </c>
      <c r="H333">
        <v>7.6639999999999997</v>
      </c>
      <c r="I333">
        <v>6.1748847999999992</v>
      </c>
      <c r="K333" t="str">
        <f>INDEX([1]Sheet1!$A$1:$G$108, MATCH(B333,[1]Sheet1!$B:$B,0), 1)</f>
        <v>Epitestesterone</v>
      </c>
      <c r="L333" t="str">
        <f>INDEX([1]Sheet1!$A$1:$G$108, MATCH(B333,[1]Sheet1!$B:$B,0), 3)</f>
        <v>weak</v>
      </c>
      <c r="M333" t="s">
        <v>109</v>
      </c>
    </row>
    <row r="334" spans="1:13" x14ac:dyDescent="0.3">
      <c r="A334" t="s">
        <v>56</v>
      </c>
      <c r="B334" t="str">
        <f>_xlfn.TEXTBEFORE(_xlfn.TEXTAFTER(A334,"cas-"),"_")</f>
        <v>481-30-1</v>
      </c>
      <c r="C334" t="s">
        <v>13</v>
      </c>
      <c r="D334" t="s">
        <v>14</v>
      </c>
      <c r="E334" t="s">
        <v>12</v>
      </c>
      <c r="F334">
        <v>-8.85</v>
      </c>
      <c r="G334">
        <v>0.75329999999999997</v>
      </c>
      <c r="H334">
        <v>7.7380000000000004</v>
      </c>
      <c r="I334">
        <v>5.8290354000000004</v>
      </c>
      <c r="K334" t="str">
        <f>INDEX([1]Sheet1!$A$1:$G$108, MATCH(B334,[1]Sheet1!$B:$B,0), 1)</f>
        <v>Epitestesterone</v>
      </c>
      <c r="L334" t="str">
        <f>INDEX([1]Sheet1!$A$1:$G$108, MATCH(B334,[1]Sheet1!$B:$B,0), 3)</f>
        <v>weak</v>
      </c>
      <c r="M334" t="s">
        <v>109</v>
      </c>
    </row>
    <row r="335" spans="1:13" x14ac:dyDescent="0.3">
      <c r="A335" t="s">
        <v>56</v>
      </c>
      <c r="B335" t="str">
        <f>_xlfn.TEXTBEFORE(_xlfn.TEXTAFTER(A335,"cas-"),"_")</f>
        <v>481-30-1</v>
      </c>
      <c r="C335" t="s">
        <v>18</v>
      </c>
      <c r="D335" t="s">
        <v>11</v>
      </c>
      <c r="E335" t="s">
        <v>12</v>
      </c>
      <c r="F335">
        <v>-10.42</v>
      </c>
      <c r="G335">
        <v>0.87519999999999998</v>
      </c>
      <c r="H335">
        <v>7.7240000000000002</v>
      </c>
      <c r="I335">
        <v>6.7600448000000002</v>
      </c>
      <c r="K335" t="str">
        <f>INDEX([1]Sheet1!$A$1:$G$108, MATCH(B335,[1]Sheet1!$B:$B,0), 1)</f>
        <v>Epitestesterone</v>
      </c>
      <c r="L335" t="str">
        <f>INDEX([1]Sheet1!$A$1:$G$108, MATCH(B335,[1]Sheet1!$B:$B,0), 3)</f>
        <v>weak</v>
      </c>
      <c r="M335" t="s">
        <v>109</v>
      </c>
    </row>
    <row r="336" spans="1:13" x14ac:dyDescent="0.3">
      <c r="A336" t="s">
        <v>56</v>
      </c>
      <c r="B336" t="str">
        <f>_xlfn.TEXTBEFORE(_xlfn.TEXTAFTER(A336,"cas-"),"_")</f>
        <v>481-30-1</v>
      </c>
      <c r="C336" t="s">
        <v>21</v>
      </c>
      <c r="D336" t="s">
        <v>11</v>
      </c>
      <c r="E336" t="s">
        <v>12</v>
      </c>
      <c r="F336">
        <v>-10.119999999999999</v>
      </c>
      <c r="G336">
        <v>0.77100000000000002</v>
      </c>
      <c r="H336">
        <v>7.4619999999999997</v>
      </c>
      <c r="I336">
        <v>5.7532019999999999</v>
      </c>
      <c r="K336" t="str">
        <f>INDEX([1]Sheet1!$A$1:$G$108, MATCH(B336,[1]Sheet1!$B:$B,0), 1)</f>
        <v>Epitestesterone</v>
      </c>
      <c r="L336" t="str">
        <f>INDEX([1]Sheet1!$A$1:$G$108, MATCH(B336,[1]Sheet1!$B:$B,0), 3)</f>
        <v>weak</v>
      </c>
      <c r="M336" t="s">
        <v>109</v>
      </c>
    </row>
    <row r="337" spans="1:13" x14ac:dyDescent="0.3">
      <c r="A337" t="s">
        <v>56</v>
      </c>
      <c r="B337" t="str">
        <f>_xlfn.TEXTBEFORE(_xlfn.TEXTAFTER(A337,"cas-"),"_")</f>
        <v>481-30-1</v>
      </c>
      <c r="C337" t="s">
        <v>28</v>
      </c>
      <c r="D337" t="s">
        <v>29</v>
      </c>
      <c r="E337" t="s">
        <v>12</v>
      </c>
      <c r="F337">
        <v>-8.16</v>
      </c>
      <c r="G337">
        <v>0.68110000000000004</v>
      </c>
      <c r="H337">
        <v>7.4349999999999996</v>
      </c>
      <c r="I337">
        <v>5.0639785000000002</v>
      </c>
      <c r="K337" t="str">
        <f>INDEX([1]Sheet1!$A$1:$G$108, MATCH(B337,[1]Sheet1!$B:$B,0), 1)</f>
        <v>Epitestesterone</v>
      </c>
      <c r="L337" t="str">
        <f>INDEX([1]Sheet1!$A$1:$G$108, MATCH(B337,[1]Sheet1!$B:$B,0), 3)</f>
        <v>weak</v>
      </c>
      <c r="M337" t="s">
        <v>109</v>
      </c>
    </row>
    <row r="338" spans="1:13" x14ac:dyDescent="0.3">
      <c r="A338" t="s">
        <v>56</v>
      </c>
      <c r="B338" t="str">
        <f>_xlfn.TEXTBEFORE(_xlfn.TEXTAFTER(A338,"cas-"),"_")</f>
        <v>481-30-1</v>
      </c>
      <c r="C338" t="s">
        <v>30</v>
      </c>
      <c r="D338" t="s">
        <v>31</v>
      </c>
      <c r="E338" t="s">
        <v>12</v>
      </c>
      <c r="F338">
        <v>-5.07</v>
      </c>
      <c r="G338">
        <v>0.59799999999999998</v>
      </c>
      <c r="H338">
        <v>7.4349999999999996</v>
      </c>
      <c r="I338">
        <v>4.4461299999999992</v>
      </c>
      <c r="K338" t="str">
        <f>INDEX([1]Sheet1!$A$1:$G$108, MATCH(B338,[1]Sheet1!$B:$B,0), 1)</f>
        <v>Epitestesterone</v>
      </c>
      <c r="L338" t="str">
        <f>INDEX([1]Sheet1!$A$1:$G$108, MATCH(B338,[1]Sheet1!$B:$B,0), 3)</f>
        <v>weak</v>
      </c>
      <c r="M338" t="s">
        <v>109</v>
      </c>
    </row>
    <row r="339" spans="1:13" x14ac:dyDescent="0.3">
      <c r="A339" t="s">
        <v>56</v>
      </c>
      <c r="B339" t="str">
        <f>_xlfn.TEXTBEFORE(_xlfn.TEXTAFTER(A339,"cas-"),"_")</f>
        <v>481-30-1</v>
      </c>
      <c r="C339" t="s">
        <v>15</v>
      </c>
      <c r="D339" t="s">
        <v>16</v>
      </c>
      <c r="E339" t="s">
        <v>12</v>
      </c>
      <c r="F339">
        <v>-9.4</v>
      </c>
      <c r="G339">
        <v>0.79259999999999997</v>
      </c>
      <c r="H339">
        <v>7.649</v>
      </c>
      <c r="I339">
        <v>6.0625973999999996</v>
      </c>
      <c r="K339" t="str">
        <f>INDEX([1]Sheet1!$A$1:$G$108, MATCH(B339,[1]Sheet1!$B:$B,0), 1)</f>
        <v>Epitestesterone</v>
      </c>
      <c r="L339" t="str">
        <f>INDEX([1]Sheet1!$A$1:$G$108, MATCH(B339,[1]Sheet1!$B:$B,0), 3)</f>
        <v>weak</v>
      </c>
      <c r="M339" t="s">
        <v>109</v>
      </c>
    </row>
    <row r="340" spans="1:13" x14ac:dyDescent="0.3">
      <c r="A340" t="s">
        <v>57</v>
      </c>
      <c r="B340" t="str">
        <f>_xlfn.TEXTBEFORE(_xlfn.TEXTAFTER(A340,"cas-"),"_")</f>
        <v>50-02-2</v>
      </c>
      <c r="C340" t="s">
        <v>26</v>
      </c>
      <c r="D340" t="s">
        <v>14</v>
      </c>
      <c r="E340" t="s">
        <v>12</v>
      </c>
      <c r="F340">
        <v>-5.83</v>
      </c>
      <c r="G340">
        <v>0.36449999999999999</v>
      </c>
      <c r="H340">
        <v>7.1070000000000002</v>
      </c>
      <c r="I340">
        <v>2.5905014999999998</v>
      </c>
      <c r="K340" t="str">
        <f>INDEX([1]Sheet1!$A$1:$G$108, MATCH(B340,[1]Sheet1!$B:$B,0), 1)</f>
        <v>Dexamethasone</v>
      </c>
      <c r="L340" t="str">
        <f>INDEX([1]Sheet1!$A$1:$G$108, MATCH(B340,[1]Sheet1!$B:$B,0), 3)</f>
        <v>weak</v>
      </c>
      <c r="M340" t="s">
        <v>109</v>
      </c>
    </row>
    <row r="341" spans="1:13" x14ac:dyDescent="0.3">
      <c r="A341" t="s">
        <v>57</v>
      </c>
      <c r="B341" t="str">
        <f>_xlfn.TEXTBEFORE(_xlfn.TEXTAFTER(A341,"cas-"),"_")</f>
        <v>50-02-2</v>
      </c>
      <c r="C341" t="s">
        <v>17</v>
      </c>
      <c r="D341" t="s">
        <v>11</v>
      </c>
      <c r="E341" t="s">
        <v>12</v>
      </c>
      <c r="F341">
        <v>-6.71</v>
      </c>
      <c r="G341">
        <v>0.59179999999999999</v>
      </c>
      <c r="H341">
        <v>7.7450000000000001</v>
      </c>
      <c r="I341">
        <v>4.5834910000000004</v>
      </c>
      <c r="K341" t="str">
        <f>INDEX([1]Sheet1!$A$1:$G$108, MATCH(B341,[1]Sheet1!$B:$B,0), 1)</f>
        <v>Dexamethasone</v>
      </c>
      <c r="L341" t="str">
        <f>INDEX([1]Sheet1!$A$1:$G$108, MATCH(B341,[1]Sheet1!$B:$B,0), 3)</f>
        <v>weak</v>
      </c>
      <c r="M341" t="s">
        <v>109</v>
      </c>
    </row>
    <row r="342" spans="1:13" x14ac:dyDescent="0.3">
      <c r="A342" t="s">
        <v>57</v>
      </c>
      <c r="B342" t="str">
        <f>_xlfn.TEXTBEFORE(_xlfn.TEXTAFTER(A342,"cas-"),"_")</f>
        <v>50-02-2</v>
      </c>
      <c r="C342" t="s">
        <v>10</v>
      </c>
      <c r="D342" t="s">
        <v>11</v>
      </c>
      <c r="E342" t="s">
        <v>12</v>
      </c>
      <c r="F342">
        <v>-5.46</v>
      </c>
      <c r="G342">
        <v>0.48110000000000003</v>
      </c>
      <c r="H342">
        <v>7.2110000000000003</v>
      </c>
      <c r="I342">
        <v>3.4692121</v>
      </c>
      <c r="K342" t="str">
        <f>INDEX([1]Sheet1!$A$1:$G$108, MATCH(B342,[1]Sheet1!$B:$B,0), 1)</f>
        <v>Dexamethasone</v>
      </c>
      <c r="L342" t="str">
        <f>INDEX([1]Sheet1!$A$1:$G$108, MATCH(B342,[1]Sheet1!$B:$B,0), 3)</f>
        <v>weak</v>
      </c>
      <c r="M342" t="s">
        <v>109</v>
      </c>
    </row>
    <row r="343" spans="1:13" x14ac:dyDescent="0.3">
      <c r="A343" t="s">
        <v>57</v>
      </c>
      <c r="B343" t="str">
        <f>_xlfn.TEXTBEFORE(_xlfn.TEXTAFTER(A343,"cas-"),"_")</f>
        <v>50-02-2</v>
      </c>
      <c r="C343" t="s">
        <v>13</v>
      </c>
      <c r="D343" t="s">
        <v>14</v>
      </c>
      <c r="E343" t="s">
        <v>12</v>
      </c>
      <c r="F343">
        <v>-6</v>
      </c>
      <c r="G343">
        <v>0.3831</v>
      </c>
      <c r="H343">
        <v>7.2069999999999999</v>
      </c>
      <c r="I343">
        <v>2.7610017</v>
      </c>
      <c r="K343" t="str">
        <f>INDEX([1]Sheet1!$A$1:$G$108, MATCH(B343,[1]Sheet1!$B:$B,0), 1)</f>
        <v>Dexamethasone</v>
      </c>
      <c r="L343" t="str">
        <f>INDEX([1]Sheet1!$A$1:$G$108, MATCH(B343,[1]Sheet1!$B:$B,0), 3)</f>
        <v>weak</v>
      </c>
      <c r="M343" t="s">
        <v>109</v>
      </c>
    </row>
    <row r="344" spans="1:13" x14ac:dyDescent="0.3">
      <c r="A344" t="s">
        <v>57</v>
      </c>
      <c r="B344" t="str">
        <f>_xlfn.TEXTBEFORE(_xlfn.TEXTAFTER(A344,"cas-"),"_")</f>
        <v>50-02-2</v>
      </c>
      <c r="C344" t="s">
        <v>22</v>
      </c>
      <c r="D344" t="s">
        <v>23</v>
      </c>
      <c r="E344" t="s">
        <v>12</v>
      </c>
      <c r="F344">
        <v>-8.8800000000000008</v>
      </c>
      <c r="G344">
        <v>0.66520000000000001</v>
      </c>
      <c r="H344">
        <v>7.266</v>
      </c>
      <c r="I344">
        <v>4.8333431999999998</v>
      </c>
      <c r="K344" t="str">
        <f>INDEX([1]Sheet1!$A$1:$G$108, MATCH(B344,[1]Sheet1!$B:$B,0), 1)</f>
        <v>Dexamethasone</v>
      </c>
      <c r="L344" t="str">
        <f>INDEX([1]Sheet1!$A$1:$G$108, MATCH(B344,[1]Sheet1!$B:$B,0), 3)</f>
        <v>weak</v>
      </c>
      <c r="M344" t="s">
        <v>109</v>
      </c>
    </row>
    <row r="345" spans="1:13" x14ac:dyDescent="0.3">
      <c r="A345" t="s">
        <v>57</v>
      </c>
      <c r="B345" t="str">
        <f>_xlfn.TEXTBEFORE(_xlfn.TEXTAFTER(A345,"cas-"),"_")</f>
        <v>50-02-2</v>
      </c>
      <c r="C345" t="s">
        <v>27</v>
      </c>
      <c r="D345" t="s">
        <v>11</v>
      </c>
      <c r="E345" t="s">
        <v>12</v>
      </c>
      <c r="F345">
        <v>-6.13</v>
      </c>
      <c r="G345">
        <v>0.22850000000000001</v>
      </c>
      <c r="H345">
        <v>7.3129999999999997</v>
      </c>
      <c r="I345">
        <v>1.6710205</v>
      </c>
      <c r="K345" t="str">
        <f>INDEX([1]Sheet1!$A$1:$G$108, MATCH(B345,[1]Sheet1!$B:$B,0), 1)</f>
        <v>Dexamethasone</v>
      </c>
      <c r="L345" t="str">
        <f>INDEX([1]Sheet1!$A$1:$G$108, MATCH(B345,[1]Sheet1!$B:$B,0), 3)</f>
        <v>weak</v>
      </c>
      <c r="M345" t="s">
        <v>109</v>
      </c>
    </row>
    <row r="346" spans="1:13" x14ac:dyDescent="0.3">
      <c r="A346" t="s">
        <v>57</v>
      </c>
      <c r="B346" t="str">
        <f>_xlfn.TEXTBEFORE(_xlfn.TEXTAFTER(A346,"cas-"),"_")</f>
        <v>50-02-2</v>
      </c>
      <c r="C346" t="s">
        <v>24</v>
      </c>
      <c r="D346" t="s">
        <v>25</v>
      </c>
      <c r="E346" t="s">
        <v>12</v>
      </c>
      <c r="F346">
        <v>-6.94</v>
      </c>
      <c r="G346">
        <v>0.52439999999999998</v>
      </c>
      <c r="H346">
        <v>7.3360000000000003</v>
      </c>
      <c r="I346">
        <v>3.8469983999999999</v>
      </c>
      <c r="K346" t="str">
        <f>INDEX([1]Sheet1!$A$1:$G$108, MATCH(B346,[1]Sheet1!$B:$B,0), 1)</f>
        <v>Dexamethasone</v>
      </c>
      <c r="L346" t="str">
        <f>INDEX([1]Sheet1!$A$1:$G$108, MATCH(B346,[1]Sheet1!$B:$B,0), 3)</f>
        <v>weak</v>
      </c>
      <c r="M346" t="s">
        <v>109</v>
      </c>
    </row>
    <row r="347" spans="1:13" x14ac:dyDescent="0.3">
      <c r="A347" t="s">
        <v>57</v>
      </c>
      <c r="B347" t="str">
        <f>_xlfn.TEXTBEFORE(_xlfn.TEXTAFTER(A347,"cas-"),"_")</f>
        <v>50-02-2</v>
      </c>
      <c r="C347" t="s">
        <v>21</v>
      </c>
      <c r="D347" t="s">
        <v>11</v>
      </c>
      <c r="E347" t="s">
        <v>12</v>
      </c>
      <c r="F347">
        <v>-7.21</v>
      </c>
      <c r="G347">
        <v>0.48699999999999999</v>
      </c>
      <c r="H347">
        <v>7.4720000000000004</v>
      </c>
      <c r="I347">
        <v>3.6388639999999999</v>
      </c>
      <c r="K347" t="str">
        <f>INDEX([1]Sheet1!$A$1:$G$108, MATCH(B347,[1]Sheet1!$B:$B,0), 1)</f>
        <v>Dexamethasone</v>
      </c>
      <c r="L347" t="str">
        <f>INDEX([1]Sheet1!$A$1:$G$108, MATCH(B347,[1]Sheet1!$B:$B,0), 3)</f>
        <v>weak</v>
      </c>
      <c r="M347" t="s">
        <v>109</v>
      </c>
    </row>
    <row r="348" spans="1:13" x14ac:dyDescent="0.3">
      <c r="A348" t="s">
        <v>57</v>
      </c>
      <c r="B348" t="str">
        <f>_xlfn.TEXTBEFORE(_xlfn.TEXTAFTER(A348,"cas-"),"_")</f>
        <v>50-02-2</v>
      </c>
      <c r="C348" t="s">
        <v>18</v>
      </c>
      <c r="D348" t="s">
        <v>11</v>
      </c>
      <c r="E348" t="s">
        <v>12</v>
      </c>
      <c r="F348">
        <v>-7.49</v>
      </c>
      <c r="G348">
        <v>0.46789999999999998</v>
      </c>
      <c r="H348">
        <v>7.2709999999999999</v>
      </c>
      <c r="I348">
        <v>3.4021009000000002</v>
      </c>
      <c r="K348" t="str">
        <f>INDEX([1]Sheet1!$A$1:$G$108, MATCH(B348,[1]Sheet1!$B:$B,0), 1)</f>
        <v>Dexamethasone</v>
      </c>
      <c r="L348" t="str">
        <f>INDEX([1]Sheet1!$A$1:$G$108, MATCH(B348,[1]Sheet1!$B:$B,0), 3)</f>
        <v>weak</v>
      </c>
      <c r="M348" t="s">
        <v>109</v>
      </c>
    </row>
    <row r="349" spans="1:13" x14ac:dyDescent="0.3">
      <c r="A349" t="s">
        <v>57</v>
      </c>
      <c r="B349" t="str">
        <f>_xlfn.TEXTBEFORE(_xlfn.TEXTAFTER(A349,"cas-"),"_")</f>
        <v>50-02-2</v>
      </c>
      <c r="C349" t="s">
        <v>19</v>
      </c>
      <c r="D349" t="s">
        <v>20</v>
      </c>
      <c r="E349" t="s">
        <v>12</v>
      </c>
      <c r="F349">
        <v>-6.67</v>
      </c>
      <c r="G349">
        <v>0.4985</v>
      </c>
      <c r="H349">
        <v>7.38</v>
      </c>
      <c r="I349">
        <v>3.6789299999999998</v>
      </c>
      <c r="K349" t="str">
        <f>INDEX([1]Sheet1!$A$1:$G$108, MATCH(B349,[1]Sheet1!$B:$B,0), 1)</f>
        <v>Dexamethasone</v>
      </c>
      <c r="L349" t="str">
        <f>INDEX([1]Sheet1!$A$1:$G$108, MATCH(B349,[1]Sheet1!$B:$B,0), 3)</f>
        <v>weak</v>
      </c>
      <c r="M349" t="s">
        <v>109</v>
      </c>
    </row>
    <row r="350" spans="1:13" x14ac:dyDescent="0.3">
      <c r="A350" t="s">
        <v>57</v>
      </c>
      <c r="B350" t="str">
        <f>_xlfn.TEXTBEFORE(_xlfn.TEXTAFTER(A350,"cas-"),"_")</f>
        <v>50-02-2</v>
      </c>
      <c r="C350" t="s">
        <v>30</v>
      </c>
      <c r="D350" t="s">
        <v>31</v>
      </c>
      <c r="E350" t="s">
        <v>12</v>
      </c>
      <c r="F350">
        <v>-3.64</v>
      </c>
      <c r="G350">
        <v>0.25490000000000002</v>
      </c>
      <c r="H350">
        <v>7.0259999999999998</v>
      </c>
      <c r="I350">
        <v>1.7909273999999999</v>
      </c>
      <c r="K350" t="str">
        <f>INDEX([1]Sheet1!$A$1:$G$108, MATCH(B350,[1]Sheet1!$B:$B,0), 1)</f>
        <v>Dexamethasone</v>
      </c>
      <c r="L350" t="str">
        <f>INDEX([1]Sheet1!$A$1:$G$108, MATCH(B350,[1]Sheet1!$B:$B,0), 3)</f>
        <v>weak</v>
      </c>
      <c r="M350" t="s">
        <v>109</v>
      </c>
    </row>
    <row r="351" spans="1:13" x14ac:dyDescent="0.3">
      <c r="A351" t="s">
        <v>57</v>
      </c>
      <c r="B351" t="str">
        <f>_xlfn.TEXTBEFORE(_xlfn.TEXTAFTER(A351,"cas-"),"_")</f>
        <v>50-02-2</v>
      </c>
      <c r="C351" t="s">
        <v>15</v>
      </c>
      <c r="D351" t="s">
        <v>16</v>
      </c>
      <c r="E351" t="s">
        <v>12</v>
      </c>
      <c r="F351">
        <v>-7.45</v>
      </c>
      <c r="G351">
        <v>0.42770000000000002</v>
      </c>
      <c r="H351">
        <v>7.2690000000000001</v>
      </c>
      <c r="I351">
        <v>3.1089513000000002</v>
      </c>
      <c r="K351" t="str">
        <f>INDEX([1]Sheet1!$A$1:$G$108, MATCH(B351,[1]Sheet1!$B:$B,0), 1)</f>
        <v>Dexamethasone</v>
      </c>
      <c r="L351" t="str">
        <f>INDEX([1]Sheet1!$A$1:$G$108, MATCH(B351,[1]Sheet1!$B:$B,0), 3)</f>
        <v>weak</v>
      </c>
      <c r="M351" t="s">
        <v>109</v>
      </c>
    </row>
    <row r="352" spans="1:13" x14ac:dyDescent="0.3">
      <c r="A352" t="s">
        <v>57</v>
      </c>
      <c r="B352" t="str">
        <f>_xlfn.TEXTBEFORE(_xlfn.TEXTAFTER(A352,"cas-"),"_")</f>
        <v>50-02-2</v>
      </c>
      <c r="C352" t="s">
        <v>28</v>
      </c>
      <c r="D352" t="s">
        <v>29</v>
      </c>
      <c r="E352" t="s">
        <v>12</v>
      </c>
      <c r="F352">
        <v>-2.4500000000000002</v>
      </c>
      <c r="G352">
        <v>0.2303</v>
      </c>
      <c r="H352">
        <v>7.29</v>
      </c>
      <c r="I352">
        <v>1.678887</v>
      </c>
      <c r="K352" t="str">
        <f>INDEX([1]Sheet1!$A$1:$G$108, MATCH(B352,[1]Sheet1!$B:$B,0), 1)</f>
        <v>Dexamethasone</v>
      </c>
      <c r="L352" t="str">
        <f>INDEX([1]Sheet1!$A$1:$G$108, MATCH(B352,[1]Sheet1!$B:$B,0), 3)</f>
        <v>weak</v>
      </c>
      <c r="M352" t="s">
        <v>109</v>
      </c>
    </row>
    <row r="353" spans="1:13" x14ac:dyDescent="0.3">
      <c r="A353" t="s">
        <v>58</v>
      </c>
      <c r="B353" t="str">
        <f>_xlfn.TEXTBEFORE(_xlfn.TEXTAFTER(A353,"cas-"),"_")</f>
        <v>50-22-6</v>
      </c>
      <c r="C353" t="s">
        <v>27</v>
      </c>
      <c r="D353" t="s">
        <v>11</v>
      </c>
      <c r="E353" t="s">
        <v>12</v>
      </c>
      <c r="F353">
        <v>-4.68</v>
      </c>
      <c r="G353">
        <v>0.67279999999999995</v>
      </c>
      <c r="H353">
        <v>7.4320000000000004</v>
      </c>
      <c r="I353">
        <v>5.0002496000000001</v>
      </c>
      <c r="K353" t="str">
        <f>INDEX([1]Sheet1!$A$1:$G$108, MATCH(B353,[1]Sheet1!$B:$B,0), 1)</f>
        <v>Corticosterone</v>
      </c>
      <c r="L353" t="str">
        <f>INDEX([1]Sheet1!$A$1:$G$108, MATCH(B353,[1]Sheet1!$B:$B,0), 3)</f>
        <v>weak</v>
      </c>
      <c r="M353" t="s">
        <v>109</v>
      </c>
    </row>
    <row r="354" spans="1:13" x14ac:dyDescent="0.3">
      <c r="A354" t="s">
        <v>58</v>
      </c>
      <c r="B354" t="str">
        <f>_xlfn.TEXTBEFORE(_xlfn.TEXTAFTER(A354,"cas-"),"_")</f>
        <v>50-22-6</v>
      </c>
      <c r="C354" t="s">
        <v>18</v>
      </c>
      <c r="D354" t="s">
        <v>11</v>
      </c>
      <c r="E354" t="s">
        <v>12</v>
      </c>
      <c r="F354">
        <v>-8.25</v>
      </c>
      <c r="G354">
        <v>0.70420000000000005</v>
      </c>
      <c r="H354">
        <v>7.2779999999999996</v>
      </c>
      <c r="I354">
        <v>5.1251676000000002</v>
      </c>
      <c r="K354" t="str">
        <f>INDEX([1]Sheet1!$A$1:$G$108, MATCH(B354,[1]Sheet1!$B:$B,0), 1)</f>
        <v>Corticosterone</v>
      </c>
      <c r="L354" t="str">
        <f>INDEX([1]Sheet1!$A$1:$G$108, MATCH(B354,[1]Sheet1!$B:$B,0), 3)</f>
        <v>weak</v>
      </c>
      <c r="M354" t="s">
        <v>109</v>
      </c>
    </row>
    <row r="355" spans="1:13" x14ac:dyDescent="0.3">
      <c r="A355" t="s">
        <v>58</v>
      </c>
      <c r="B355" t="str">
        <f>_xlfn.TEXTBEFORE(_xlfn.TEXTAFTER(A355,"cas-"),"_")</f>
        <v>50-22-6</v>
      </c>
      <c r="C355" t="s">
        <v>21</v>
      </c>
      <c r="D355" t="s">
        <v>11</v>
      </c>
      <c r="E355" t="s">
        <v>12</v>
      </c>
      <c r="F355">
        <v>-8.16</v>
      </c>
      <c r="G355">
        <v>0.63139999999999996</v>
      </c>
      <c r="H355">
        <v>7.3579999999999997</v>
      </c>
      <c r="I355">
        <v>4.6458411999999996</v>
      </c>
      <c r="K355" t="str">
        <f>INDEX([1]Sheet1!$A$1:$G$108, MATCH(B355,[1]Sheet1!$B:$B,0), 1)</f>
        <v>Corticosterone</v>
      </c>
      <c r="L355" t="str">
        <f>INDEX([1]Sheet1!$A$1:$G$108, MATCH(B355,[1]Sheet1!$B:$B,0), 3)</f>
        <v>weak</v>
      </c>
      <c r="M355" t="s">
        <v>109</v>
      </c>
    </row>
    <row r="356" spans="1:13" x14ac:dyDescent="0.3">
      <c r="A356" t="s">
        <v>58</v>
      </c>
      <c r="B356" t="str">
        <f>_xlfn.TEXTBEFORE(_xlfn.TEXTAFTER(A356,"cas-"),"_")</f>
        <v>50-22-6</v>
      </c>
      <c r="C356" t="s">
        <v>19</v>
      </c>
      <c r="D356" t="s">
        <v>20</v>
      </c>
      <c r="E356" t="s">
        <v>12</v>
      </c>
      <c r="F356">
        <v>-8.1999999999999993</v>
      </c>
      <c r="G356">
        <v>0.79290000000000005</v>
      </c>
      <c r="H356">
        <v>7.4580000000000002</v>
      </c>
      <c r="I356">
        <v>5.9134482000000004</v>
      </c>
      <c r="K356" t="str">
        <f>INDEX([1]Sheet1!$A$1:$G$108, MATCH(B356,[1]Sheet1!$B:$B,0), 1)</f>
        <v>Corticosterone</v>
      </c>
      <c r="L356" t="str">
        <f>INDEX([1]Sheet1!$A$1:$G$108, MATCH(B356,[1]Sheet1!$B:$B,0), 3)</f>
        <v>weak</v>
      </c>
      <c r="M356" t="s">
        <v>109</v>
      </c>
    </row>
    <row r="357" spans="1:13" x14ac:dyDescent="0.3">
      <c r="A357" t="s">
        <v>58</v>
      </c>
      <c r="B357" t="str">
        <f>_xlfn.TEXTBEFORE(_xlfn.TEXTAFTER(A357,"cas-"),"_")</f>
        <v>50-22-6</v>
      </c>
      <c r="C357" t="s">
        <v>24</v>
      </c>
      <c r="D357" t="s">
        <v>25</v>
      </c>
      <c r="E357" t="s">
        <v>12</v>
      </c>
      <c r="F357">
        <v>-7.87</v>
      </c>
      <c r="G357">
        <v>0.70550000000000002</v>
      </c>
      <c r="H357">
        <v>7.4359999999999999</v>
      </c>
      <c r="I357">
        <v>5.2460979999999999</v>
      </c>
      <c r="K357" t="str">
        <f>INDEX([1]Sheet1!$A$1:$G$108, MATCH(B357,[1]Sheet1!$B:$B,0), 1)</f>
        <v>Corticosterone</v>
      </c>
      <c r="L357" t="str">
        <f>INDEX([1]Sheet1!$A$1:$G$108, MATCH(B357,[1]Sheet1!$B:$B,0), 3)</f>
        <v>weak</v>
      </c>
      <c r="M357" t="s">
        <v>109</v>
      </c>
    </row>
    <row r="358" spans="1:13" x14ac:dyDescent="0.3">
      <c r="A358" t="s">
        <v>58</v>
      </c>
      <c r="B358" t="str">
        <f>_xlfn.TEXTBEFORE(_xlfn.TEXTAFTER(A358,"cas-"),"_")</f>
        <v>50-22-6</v>
      </c>
      <c r="C358" t="s">
        <v>15</v>
      </c>
      <c r="D358" t="s">
        <v>16</v>
      </c>
      <c r="E358" t="s">
        <v>12</v>
      </c>
      <c r="F358">
        <v>-8.11</v>
      </c>
      <c r="G358">
        <v>0.72760000000000002</v>
      </c>
      <c r="H358">
        <v>7.5869999999999997</v>
      </c>
      <c r="I358">
        <v>5.5203011999999996</v>
      </c>
      <c r="K358" t="str">
        <f>INDEX([1]Sheet1!$A$1:$G$108, MATCH(B358,[1]Sheet1!$B:$B,0), 1)</f>
        <v>Corticosterone</v>
      </c>
      <c r="L358" t="str">
        <f>INDEX([1]Sheet1!$A$1:$G$108, MATCH(B358,[1]Sheet1!$B:$B,0), 3)</f>
        <v>weak</v>
      </c>
      <c r="M358" t="s">
        <v>109</v>
      </c>
    </row>
    <row r="359" spans="1:13" x14ac:dyDescent="0.3">
      <c r="A359" t="s">
        <v>58</v>
      </c>
      <c r="B359" t="str">
        <f>_xlfn.TEXTBEFORE(_xlfn.TEXTAFTER(A359,"cas-"),"_")</f>
        <v>50-22-6</v>
      </c>
      <c r="C359" t="s">
        <v>30</v>
      </c>
      <c r="D359" t="s">
        <v>31</v>
      </c>
      <c r="E359" t="s">
        <v>12</v>
      </c>
      <c r="F359">
        <v>-5.46</v>
      </c>
      <c r="G359">
        <v>0.51170000000000004</v>
      </c>
      <c r="H359">
        <v>7.2110000000000003</v>
      </c>
      <c r="I359">
        <v>3.6898686999999999</v>
      </c>
      <c r="K359" t="str">
        <f>INDEX([1]Sheet1!$A$1:$G$108, MATCH(B359,[1]Sheet1!$B:$B,0), 1)</f>
        <v>Corticosterone</v>
      </c>
      <c r="L359" t="str">
        <f>INDEX([1]Sheet1!$A$1:$G$108, MATCH(B359,[1]Sheet1!$B:$B,0), 3)</f>
        <v>weak</v>
      </c>
      <c r="M359" t="s">
        <v>109</v>
      </c>
    </row>
    <row r="360" spans="1:13" x14ac:dyDescent="0.3">
      <c r="A360" t="s">
        <v>58</v>
      </c>
      <c r="B360" t="str">
        <f>_xlfn.TEXTBEFORE(_xlfn.TEXTAFTER(A360,"cas-"),"_")</f>
        <v>50-22-6</v>
      </c>
      <c r="C360" t="s">
        <v>17</v>
      </c>
      <c r="D360" t="s">
        <v>11</v>
      </c>
      <c r="E360" t="s">
        <v>12</v>
      </c>
      <c r="F360">
        <v>-5.3</v>
      </c>
      <c r="G360">
        <v>0.74480000000000002</v>
      </c>
      <c r="H360">
        <v>7.2220000000000004</v>
      </c>
      <c r="I360">
        <v>5.3789456000000007</v>
      </c>
      <c r="K360" t="str">
        <f>INDEX([1]Sheet1!$A$1:$G$108, MATCH(B360,[1]Sheet1!$B:$B,0), 1)</f>
        <v>Corticosterone</v>
      </c>
      <c r="L360" t="str">
        <f>INDEX([1]Sheet1!$A$1:$G$108, MATCH(B360,[1]Sheet1!$B:$B,0), 3)</f>
        <v>weak</v>
      </c>
      <c r="M360" t="s">
        <v>109</v>
      </c>
    </row>
    <row r="361" spans="1:13" x14ac:dyDescent="0.3">
      <c r="A361" t="s">
        <v>58</v>
      </c>
      <c r="B361" t="str">
        <f>_xlfn.TEXTBEFORE(_xlfn.TEXTAFTER(A361,"cas-"),"_")</f>
        <v>50-22-6</v>
      </c>
      <c r="C361" t="s">
        <v>28</v>
      </c>
      <c r="D361" t="s">
        <v>29</v>
      </c>
      <c r="E361" t="s">
        <v>12</v>
      </c>
      <c r="F361">
        <v>-6.4</v>
      </c>
      <c r="G361">
        <v>0.69799999999999995</v>
      </c>
      <c r="H361">
        <v>7.5389999999999997</v>
      </c>
      <c r="I361">
        <v>5.2622220000000004</v>
      </c>
      <c r="K361" t="str">
        <f>INDEX([1]Sheet1!$A$1:$G$108, MATCH(B361,[1]Sheet1!$B:$B,0), 1)</f>
        <v>Corticosterone</v>
      </c>
      <c r="L361" t="str">
        <f>INDEX([1]Sheet1!$A$1:$G$108, MATCH(B361,[1]Sheet1!$B:$B,0), 3)</f>
        <v>weak</v>
      </c>
      <c r="M361" t="s">
        <v>109</v>
      </c>
    </row>
    <row r="362" spans="1:13" x14ac:dyDescent="0.3">
      <c r="A362" t="s">
        <v>58</v>
      </c>
      <c r="B362" t="str">
        <f>_xlfn.TEXTBEFORE(_xlfn.TEXTAFTER(A362,"cas-"),"_")</f>
        <v>50-22-6</v>
      </c>
      <c r="C362" t="s">
        <v>10</v>
      </c>
      <c r="D362" t="s">
        <v>11</v>
      </c>
      <c r="E362" t="s">
        <v>12</v>
      </c>
      <c r="F362">
        <v>-5.69</v>
      </c>
      <c r="G362">
        <v>0.65849999999999997</v>
      </c>
      <c r="H362">
        <v>7.4589999999999996</v>
      </c>
      <c r="I362">
        <v>4.9117514999999994</v>
      </c>
      <c r="K362" t="str">
        <f>INDEX([1]Sheet1!$A$1:$G$108, MATCH(B362,[1]Sheet1!$B:$B,0), 1)</f>
        <v>Corticosterone</v>
      </c>
      <c r="L362" t="str">
        <f>INDEX([1]Sheet1!$A$1:$G$108, MATCH(B362,[1]Sheet1!$B:$B,0), 3)</f>
        <v>weak</v>
      </c>
      <c r="M362" t="s">
        <v>109</v>
      </c>
    </row>
    <row r="363" spans="1:13" x14ac:dyDescent="0.3">
      <c r="A363" t="s">
        <v>58</v>
      </c>
      <c r="B363" t="str">
        <f>_xlfn.TEXTBEFORE(_xlfn.TEXTAFTER(A363,"cas-"),"_")</f>
        <v>50-22-6</v>
      </c>
      <c r="C363" t="s">
        <v>13</v>
      </c>
      <c r="D363" t="s">
        <v>14</v>
      </c>
      <c r="E363" t="s">
        <v>12</v>
      </c>
      <c r="F363">
        <v>-8</v>
      </c>
      <c r="G363">
        <v>0.70679999999999998</v>
      </c>
      <c r="H363">
        <v>7.3380000000000001</v>
      </c>
      <c r="I363">
        <v>5.1864983999999996</v>
      </c>
      <c r="K363" t="str">
        <f>INDEX([1]Sheet1!$A$1:$G$108, MATCH(B363,[1]Sheet1!$B:$B,0), 1)</f>
        <v>Corticosterone</v>
      </c>
      <c r="L363" t="str">
        <f>INDEX([1]Sheet1!$A$1:$G$108, MATCH(B363,[1]Sheet1!$B:$B,0), 3)</f>
        <v>weak</v>
      </c>
      <c r="M363" t="s">
        <v>109</v>
      </c>
    </row>
    <row r="364" spans="1:13" x14ac:dyDescent="0.3">
      <c r="A364" t="s">
        <v>58</v>
      </c>
      <c r="B364" t="str">
        <f>_xlfn.TEXTBEFORE(_xlfn.TEXTAFTER(A364,"cas-"),"_")</f>
        <v>50-22-6</v>
      </c>
      <c r="C364" t="s">
        <v>26</v>
      </c>
      <c r="D364" t="s">
        <v>14</v>
      </c>
      <c r="E364" t="s">
        <v>12</v>
      </c>
      <c r="F364">
        <v>-8.7799999999999994</v>
      </c>
      <c r="G364">
        <v>0.8105</v>
      </c>
      <c r="H364">
        <v>7.4610000000000003</v>
      </c>
      <c r="I364">
        <v>6.0471405000000003</v>
      </c>
      <c r="K364" t="str">
        <f>INDEX([1]Sheet1!$A$1:$G$108, MATCH(B364,[1]Sheet1!$B:$B,0), 1)</f>
        <v>Corticosterone</v>
      </c>
      <c r="L364" t="str">
        <f>INDEX([1]Sheet1!$A$1:$G$108, MATCH(B364,[1]Sheet1!$B:$B,0), 3)</f>
        <v>weak</v>
      </c>
      <c r="M364" t="s">
        <v>109</v>
      </c>
    </row>
    <row r="365" spans="1:13" x14ac:dyDescent="0.3">
      <c r="A365" t="s">
        <v>58</v>
      </c>
      <c r="B365" t="str">
        <f>_xlfn.TEXTBEFORE(_xlfn.TEXTAFTER(A365,"cas-"),"_")</f>
        <v>50-22-6</v>
      </c>
      <c r="C365" t="s">
        <v>22</v>
      </c>
      <c r="D365" t="s">
        <v>23</v>
      </c>
      <c r="E365" t="s">
        <v>12</v>
      </c>
      <c r="F365">
        <v>-7.57</v>
      </c>
      <c r="G365">
        <v>0.73850000000000005</v>
      </c>
      <c r="H365">
        <v>7.5449999999999999</v>
      </c>
      <c r="I365">
        <v>5.5719825000000007</v>
      </c>
      <c r="K365" t="str">
        <f>INDEX([1]Sheet1!$A$1:$G$108, MATCH(B365,[1]Sheet1!$B:$B,0), 1)</f>
        <v>Corticosterone</v>
      </c>
      <c r="L365" t="str">
        <f>INDEX([1]Sheet1!$A$1:$G$108, MATCH(B365,[1]Sheet1!$B:$B,0), 3)</f>
        <v>weak</v>
      </c>
      <c r="M365" t="s">
        <v>109</v>
      </c>
    </row>
    <row r="366" spans="1:13" x14ac:dyDescent="0.3">
      <c r="A366" t="s">
        <v>59</v>
      </c>
      <c r="B366" t="str">
        <f>_xlfn.TEXTBEFORE(_xlfn.TEXTAFTER(A366,"cas-"),"_")</f>
        <v>50-29-3</v>
      </c>
      <c r="C366" t="s">
        <v>19</v>
      </c>
      <c r="D366" t="s">
        <v>20</v>
      </c>
      <c r="E366" t="s">
        <v>12</v>
      </c>
      <c r="F366">
        <v>-7.43</v>
      </c>
      <c r="G366">
        <v>0.77329999999999999</v>
      </c>
      <c r="H366">
        <v>7.0869999999999997</v>
      </c>
      <c r="I366">
        <v>5.4803771000000001</v>
      </c>
      <c r="K366" t="str">
        <f>INDEX([1]Sheet1!$A$1:$G$108, MATCH(B366,[1]Sheet1!$B:$B,0), 1)</f>
        <v>"p,p'-DDT"</v>
      </c>
      <c r="L366" t="str">
        <f>INDEX([1]Sheet1!$A$1:$G$108, MATCH(B366,[1]Sheet1!$B:$B,0), 3)</f>
        <v>weak</v>
      </c>
      <c r="M366" t="s">
        <v>109</v>
      </c>
    </row>
    <row r="367" spans="1:13" x14ac:dyDescent="0.3">
      <c r="A367" t="s">
        <v>59</v>
      </c>
      <c r="B367" t="str">
        <f>_xlfn.TEXTBEFORE(_xlfn.TEXTAFTER(A367,"cas-"),"_")</f>
        <v>50-29-3</v>
      </c>
      <c r="C367" t="s">
        <v>28</v>
      </c>
      <c r="D367" t="s">
        <v>29</v>
      </c>
      <c r="E367" t="s">
        <v>12</v>
      </c>
      <c r="F367">
        <v>-8.16</v>
      </c>
      <c r="G367">
        <v>0.88670000000000004</v>
      </c>
      <c r="H367">
        <v>6.9580000000000002</v>
      </c>
      <c r="I367">
        <v>6.1696586000000009</v>
      </c>
      <c r="K367" t="str">
        <f>INDEX([1]Sheet1!$A$1:$G$108, MATCH(B367,[1]Sheet1!$B:$B,0), 1)</f>
        <v>"p,p'-DDT"</v>
      </c>
      <c r="L367" t="str">
        <f>INDEX([1]Sheet1!$A$1:$G$108, MATCH(B367,[1]Sheet1!$B:$B,0), 3)</f>
        <v>weak</v>
      </c>
      <c r="M367" t="s">
        <v>109</v>
      </c>
    </row>
    <row r="368" spans="1:13" x14ac:dyDescent="0.3">
      <c r="A368" t="s">
        <v>59</v>
      </c>
      <c r="B368" t="str">
        <f>_xlfn.TEXTBEFORE(_xlfn.TEXTAFTER(A368,"cas-"),"_")</f>
        <v>50-29-3</v>
      </c>
      <c r="C368" t="s">
        <v>10</v>
      </c>
      <c r="D368" t="s">
        <v>11</v>
      </c>
      <c r="E368" t="s">
        <v>12</v>
      </c>
      <c r="F368">
        <v>-6.57</v>
      </c>
      <c r="G368">
        <v>0.70589999999999997</v>
      </c>
      <c r="H368">
        <v>7.101</v>
      </c>
      <c r="I368">
        <v>5.0125959</v>
      </c>
      <c r="K368" t="str">
        <f>INDEX([1]Sheet1!$A$1:$G$108, MATCH(B368,[1]Sheet1!$B:$B,0), 1)</f>
        <v>"p,p'-DDT"</v>
      </c>
      <c r="L368" t="str">
        <f>INDEX([1]Sheet1!$A$1:$G$108, MATCH(B368,[1]Sheet1!$B:$B,0), 3)</f>
        <v>weak</v>
      </c>
      <c r="M368" t="s">
        <v>109</v>
      </c>
    </row>
    <row r="369" spans="1:13" x14ac:dyDescent="0.3">
      <c r="A369" t="s">
        <v>59</v>
      </c>
      <c r="B369" t="str">
        <f>_xlfn.TEXTBEFORE(_xlfn.TEXTAFTER(A369,"cas-"),"_")</f>
        <v>50-29-3</v>
      </c>
      <c r="C369" t="s">
        <v>18</v>
      </c>
      <c r="D369" t="s">
        <v>11</v>
      </c>
      <c r="E369" t="s">
        <v>12</v>
      </c>
      <c r="F369">
        <v>-6.58</v>
      </c>
      <c r="G369">
        <v>0.79359999999999997</v>
      </c>
      <c r="H369">
        <v>7.173</v>
      </c>
      <c r="I369">
        <v>5.6924928000000001</v>
      </c>
      <c r="K369" t="str">
        <f>INDEX([1]Sheet1!$A$1:$G$108, MATCH(B369,[1]Sheet1!$B:$B,0), 1)</f>
        <v>"p,p'-DDT"</v>
      </c>
      <c r="L369" t="str">
        <f>INDEX([1]Sheet1!$A$1:$G$108, MATCH(B369,[1]Sheet1!$B:$B,0), 3)</f>
        <v>weak</v>
      </c>
      <c r="M369" t="s">
        <v>109</v>
      </c>
    </row>
    <row r="370" spans="1:13" x14ac:dyDescent="0.3">
      <c r="A370" t="s">
        <v>59</v>
      </c>
      <c r="B370" t="str">
        <f>_xlfn.TEXTBEFORE(_xlfn.TEXTAFTER(A370,"cas-"),"_")</f>
        <v>50-29-3</v>
      </c>
      <c r="C370" t="s">
        <v>22</v>
      </c>
      <c r="D370" t="s">
        <v>23</v>
      </c>
      <c r="E370" t="s">
        <v>12</v>
      </c>
      <c r="F370">
        <v>-8.1300000000000008</v>
      </c>
      <c r="G370">
        <v>0.94059999999999999</v>
      </c>
      <c r="H370">
        <v>7.3460000000000001</v>
      </c>
      <c r="I370">
        <v>6.9096475999999996</v>
      </c>
      <c r="K370" t="str">
        <f>INDEX([1]Sheet1!$A$1:$G$108, MATCH(B370,[1]Sheet1!$B:$B,0), 1)</f>
        <v>"p,p'-DDT"</v>
      </c>
      <c r="L370" t="str">
        <f>INDEX([1]Sheet1!$A$1:$G$108, MATCH(B370,[1]Sheet1!$B:$B,0), 3)</f>
        <v>weak</v>
      </c>
      <c r="M370" t="s">
        <v>109</v>
      </c>
    </row>
    <row r="371" spans="1:13" x14ac:dyDescent="0.3">
      <c r="A371" t="s">
        <v>59</v>
      </c>
      <c r="B371" t="str">
        <f>_xlfn.TEXTBEFORE(_xlfn.TEXTAFTER(A371,"cas-"),"_")</f>
        <v>50-29-3</v>
      </c>
      <c r="C371" t="s">
        <v>24</v>
      </c>
      <c r="D371" t="s">
        <v>25</v>
      </c>
      <c r="E371" t="s">
        <v>12</v>
      </c>
      <c r="F371">
        <v>-6.88</v>
      </c>
      <c r="G371">
        <v>0.82010000000000005</v>
      </c>
      <c r="H371">
        <v>6.6870000000000003</v>
      </c>
      <c r="I371">
        <v>5.4840087000000004</v>
      </c>
      <c r="K371" t="str">
        <f>INDEX([1]Sheet1!$A$1:$G$108, MATCH(B371,[1]Sheet1!$B:$B,0), 1)</f>
        <v>"p,p'-DDT"</v>
      </c>
      <c r="L371" t="str">
        <f>INDEX([1]Sheet1!$A$1:$G$108, MATCH(B371,[1]Sheet1!$B:$B,0), 3)</f>
        <v>weak</v>
      </c>
      <c r="M371" t="s">
        <v>109</v>
      </c>
    </row>
    <row r="372" spans="1:13" x14ac:dyDescent="0.3">
      <c r="A372" t="s">
        <v>59</v>
      </c>
      <c r="B372" t="str">
        <f>_xlfn.TEXTBEFORE(_xlfn.TEXTAFTER(A372,"cas-"),"_")</f>
        <v>50-29-3</v>
      </c>
      <c r="C372" t="s">
        <v>26</v>
      </c>
      <c r="D372" t="s">
        <v>14</v>
      </c>
      <c r="E372" t="s">
        <v>12</v>
      </c>
      <c r="F372">
        <v>-6.08</v>
      </c>
      <c r="G372">
        <v>0.755</v>
      </c>
      <c r="H372">
        <v>6.8419999999999996</v>
      </c>
      <c r="I372">
        <v>5.1657099999999998</v>
      </c>
      <c r="K372" t="str">
        <f>INDEX([1]Sheet1!$A$1:$G$108, MATCH(B372,[1]Sheet1!$B:$B,0), 1)</f>
        <v>"p,p'-DDT"</v>
      </c>
      <c r="L372" t="str">
        <f>INDEX([1]Sheet1!$A$1:$G$108, MATCH(B372,[1]Sheet1!$B:$B,0), 3)</f>
        <v>weak</v>
      </c>
      <c r="M372" t="s">
        <v>109</v>
      </c>
    </row>
    <row r="373" spans="1:13" x14ac:dyDescent="0.3">
      <c r="A373" t="s">
        <v>59</v>
      </c>
      <c r="B373" t="str">
        <f>_xlfn.TEXTBEFORE(_xlfn.TEXTAFTER(A373,"cas-"),"_")</f>
        <v>50-29-3</v>
      </c>
      <c r="C373" t="s">
        <v>17</v>
      </c>
      <c r="D373" t="s">
        <v>11</v>
      </c>
      <c r="E373" t="s">
        <v>12</v>
      </c>
      <c r="F373">
        <v>-7.4</v>
      </c>
      <c r="G373">
        <v>0.64980000000000004</v>
      </c>
      <c r="H373">
        <v>7.1349999999999998</v>
      </c>
      <c r="I373">
        <v>4.636323</v>
      </c>
      <c r="K373" t="str">
        <f>INDEX([1]Sheet1!$A$1:$G$108, MATCH(B373,[1]Sheet1!$B:$B,0), 1)</f>
        <v>"p,p'-DDT"</v>
      </c>
      <c r="L373" t="str">
        <f>INDEX([1]Sheet1!$A$1:$G$108, MATCH(B373,[1]Sheet1!$B:$B,0), 3)</f>
        <v>weak</v>
      </c>
      <c r="M373" t="s">
        <v>109</v>
      </c>
    </row>
    <row r="374" spans="1:13" x14ac:dyDescent="0.3">
      <c r="A374" t="s">
        <v>59</v>
      </c>
      <c r="B374" t="str">
        <f>_xlfn.TEXTBEFORE(_xlfn.TEXTAFTER(A374,"cas-"),"_")</f>
        <v>50-29-3</v>
      </c>
      <c r="C374" t="s">
        <v>27</v>
      </c>
      <c r="D374" t="s">
        <v>11</v>
      </c>
      <c r="E374" t="s">
        <v>12</v>
      </c>
      <c r="F374">
        <v>-7.04</v>
      </c>
      <c r="G374">
        <v>0.61150000000000004</v>
      </c>
      <c r="H374">
        <v>6.7240000000000002</v>
      </c>
      <c r="I374">
        <v>4.111726</v>
      </c>
      <c r="K374" t="str">
        <f>INDEX([1]Sheet1!$A$1:$G$108, MATCH(B374,[1]Sheet1!$B:$B,0), 1)</f>
        <v>"p,p'-DDT"</v>
      </c>
      <c r="L374" t="str">
        <f>INDEX([1]Sheet1!$A$1:$G$108, MATCH(B374,[1]Sheet1!$B:$B,0), 3)</f>
        <v>weak</v>
      </c>
      <c r="M374" t="s">
        <v>109</v>
      </c>
    </row>
    <row r="375" spans="1:13" x14ac:dyDescent="0.3">
      <c r="A375" t="s">
        <v>59</v>
      </c>
      <c r="B375" t="str">
        <f>_xlfn.TEXTBEFORE(_xlfn.TEXTAFTER(A375,"cas-"),"_")</f>
        <v>50-29-3</v>
      </c>
      <c r="C375" t="s">
        <v>21</v>
      </c>
      <c r="D375" t="s">
        <v>11</v>
      </c>
      <c r="E375" t="s">
        <v>12</v>
      </c>
      <c r="F375">
        <v>-8.16</v>
      </c>
      <c r="G375">
        <v>0.8246</v>
      </c>
      <c r="H375">
        <v>6.6029999999999998</v>
      </c>
      <c r="I375">
        <v>5.4448337999999996</v>
      </c>
      <c r="K375" t="str">
        <f>INDEX([1]Sheet1!$A$1:$G$108, MATCH(B375,[1]Sheet1!$B:$B,0), 1)</f>
        <v>"p,p'-DDT"</v>
      </c>
      <c r="L375" t="str">
        <f>INDEX([1]Sheet1!$A$1:$G$108, MATCH(B375,[1]Sheet1!$B:$B,0), 3)</f>
        <v>weak</v>
      </c>
      <c r="M375" t="s">
        <v>109</v>
      </c>
    </row>
    <row r="376" spans="1:13" x14ac:dyDescent="0.3">
      <c r="A376" t="s">
        <v>59</v>
      </c>
      <c r="B376" t="str">
        <f>_xlfn.TEXTBEFORE(_xlfn.TEXTAFTER(A376,"cas-"),"_")</f>
        <v>50-29-3</v>
      </c>
      <c r="C376" t="s">
        <v>13</v>
      </c>
      <c r="D376" t="s">
        <v>14</v>
      </c>
      <c r="E376" t="s">
        <v>12</v>
      </c>
      <c r="F376">
        <v>-7.11</v>
      </c>
      <c r="G376">
        <v>0.66810000000000003</v>
      </c>
      <c r="H376">
        <v>6.827</v>
      </c>
      <c r="I376">
        <v>4.5611186999999997</v>
      </c>
      <c r="K376" t="str">
        <f>INDEX([1]Sheet1!$A$1:$G$108, MATCH(B376,[1]Sheet1!$B:$B,0), 1)</f>
        <v>"p,p'-DDT"</v>
      </c>
      <c r="L376" t="str">
        <f>INDEX([1]Sheet1!$A$1:$G$108, MATCH(B376,[1]Sheet1!$B:$B,0), 3)</f>
        <v>weak</v>
      </c>
      <c r="M376" t="s">
        <v>109</v>
      </c>
    </row>
    <row r="377" spans="1:13" x14ac:dyDescent="0.3">
      <c r="A377" t="s">
        <v>59</v>
      </c>
      <c r="B377" t="str">
        <f>_xlfn.TEXTBEFORE(_xlfn.TEXTAFTER(A377,"cas-"),"_")</f>
        <v>50-29-3</v>
      </c>
      <c r="C377" t="s">
        <v>30</v>
      </c>
      <c r="D377" t="s">
        <v>31</v>
      </c>
      <c r="E377" t="s">
        <v>12</v>
      </c>
      <c r="F377">
        <v>-6.72</v>
      </c>
      <c r="G377">
        <v>0.86560000000000004</v>
      </c>
      <c r="H377">
        <v>6.8650000000000002</v>
      </c>
      <c r="I377">
        <v>5.9423440000000003</v>
      </c>
      <c r="K377" t="str">
        <f>INDEX([1]Sheet1!$A$1:$G$108, MATCH(B377,[1]Sheet1!$B:$B,0), 1)</f>
        <v>"p,p'-DDT"</v>
      </c>
      <c r="L377" t="str">
        <f>INDEX([1]Sheet1!$A$1:$G$108, MATCH(B377,[1]Sheet1!$B:$B,0), 3)</f>
        <v>weak</v>
      </c>
      <c r="M377" t="s">
        <v>109</v>
      </c>
    </row>
    <row r="378" spans="1:13" x14ac:dyDescent="0.3">
      <c r="A378" t="s">
        <v>59</v>
      </c>
      <c r="B378" t="str">
        <f>_xlfn.TEXTBEFORE(_xlfn.TEXTAFTER(A378,"cas-"),"_")</f>
        <v>50-29-3</v>
      </c>
      <c r="C378" t="s">
        <v>15</v>
      </c>
      <c r="D378" t="s">
        <v>16</v>
      </c>
      <c r="E378" t="s">
        <v>12</v>
      </c>
      <c r="F378">
        <v>-6.86</v>
      </c>
      <c r="G378">
        <v>0.87809999999999999</v>
      </c>
      <c r="H378">
        <v>6.9219999999999997</v>
      </c>
      <c r="I378">
        <v>6.0782081999999997</v>
      </c>
      <c r="K378" t="str">
        <f>INDEX([1]Sheet1!$A$1:$G$108, MATCH(B378,[1]Sheet1!$B:$B,0), 1)</f>
        <v>"p,p'-DDT"</v>
      </c>
      <c r="L378" t="str">
        <f>INDEX([1]Sheet1!$A$1:$G$108, MATCH(B378,[1]Sheet1!$B:$B,0), 3)</f>
        <v>weak</v>
      </c>
      <c r="M378" t="s">
        <v>109</v>
      </c>
    </row>
    <row r="379" spans="1:13" x14ac:dyDescent="0.3">
      <c r="A379" t="s">
        <v>60</v>
      </c>
      <c r="B379" t="str">
        <f>_xlfn.TEXTBEFORE(_xlfn.TEXTAFTER(A379,"cas-"),"_")</f>
        <v>500-38-9</v>
      </c>
      <c r="C379" t="s">
        <v>19</v>
      </c>
      <c r="D379" t="s">
        <v>20</v>
      </c>
      <c r="E379" t="s">
        <v>12</v>
      </c>
      <c r="F379">
        <v>-8.6199999999999992</v>
      </c>
      <c r="G379">
        <v>0.71260000000000001</v>
      </c>
      <c r="H379">
        <v>6.7370000000000001</v>
      </c>
      <c r="I379">
        <v>4.8007862000000001</v>
      </c>
      <c r="K379" t="str">
        <f>INDEX([1]Sheet1!$A$1:$G$108, MATCH(B379,[1]Sheet1!$B:$B,0), 1)</f>
        <v>Nordihydroguaiaretic acid</v>
      </c>
      <c r="L379" t="str">
        <f>INDEX([1]Sheet1!$A$1:$G$108, MATCH(B379,[1]Sheet1!$B:$B,0), 3)</f>
        <v>moderate</v>
      </c>
      <c r="M379" t="s">
        <v>109</v>
      </c>
    </row>
    <row r="380" spans="1:13" x14ac:dyDescent="0.3">
      <c r="A380" t="s">
        <v>60</v>
      </c>
      <c r="B380" t="str">
        <f>_xlfn.TEXTBEFORE(_xlfn.TEXTAFTER(A380,"cas-"),"_")</f>
        <v>500-38-9</v>
      </c>
      <c r="C380" t="s">
        <v>15</v>
      </c>
      <c r="D380" t="s">
        <v>16</v>
      </c>
      <c r="E380" t="s">
        <v>12</v>
      </c>
      <c r="F380">
        <v>-8.99</v>
      </c>
      <c r="G380">
        <v>0.82040000000000002</v>
      </c>
      <c r="H380">
        <v>6.9569999999999999</v>
      </c>
      <c r="I380">
        <v>5.7075227999999996</v>
      </c>
      <c r="K380" t="str">
        <f>INDEX([1]Sheet1!$A$1:$G$108, MATCH(B380,[1]Sheet1!$B:$B,0), 1)</f>
        <v>Nordihydroguaiaretic acid</v>
      </c>
      <c r="L380" t="str">
        <f>INDEX([1]Sheet1!$A$1:$G$108, MATCH(B380,[1]Sheet1!$B:$B,0), 3)</f>
        <v>moderate</v>
      </c>
      <c r="M380" t="s">
        <v>109</v>
      </c>
    </row>
    <row r="381" spans="1:13" x14ac:dyDescent="0.3">
      <c r="A381" t="s">
        <v>60</v>
      </c>
      <c r="B381" t="str">
        <f>_xlfn.TEXTBEFORE(_xlfn.TEXTAFTER(A381,"cas-"),"_")</f>
        <v>500-38-9</v>
      </c>
      <c r="C381" t="s">
        <v>10</v>
      </c>
      <c r="D381" t="s">
        <v>11</v>
      </c>
      <c r="E381" t="s">
        <v>12</v>
      </c>
      <c r="F381">
        <v>-8.4</v>
      </c>
      <c r="G381">
        <v>0.8427</v>
      </c>
      <c r="H381">
        <v>7.34</v>
      </c>
      <c r="I381">
        <v>6.1854180000000003</v>
      </c>
      <c r="K381" t="str">
        <f>INDEX([1]Sheet1!$A$1:$G$108, MATCH(B381,[1]Sheet1!$B:$B,0), 1)</f>
        <v>Nordihydroguaiaretic acid</v>
      </c>
      <c r="L381" t="str">
        <f>INDEX([1]Sheet1!$A$1:$G$108, MATCH(B381,[1]Sheet1!$B:$B,0), 3)</f>
        <v>moderate</v>
      </c>
      <c r="M381" t="s">
        <v>109</v>
      </c>
    </row>
    <row r="382" spans="1:13" x14ac:dyDescent="0.3">
      <c r="A382" t="s">
        <v>60</v>
      </c>
      <c r="B382" t="str">
        <f>_xlfn.TEXTBEFORE(_xlfn.TEXTAFTER(A382,"cas-"),"_")</f>
        <v>500-38-9</v>
      </c>
      <c r="C382" t="s">
        <v>17</v>
      </c>
      <c r="D382" t="s">
        <v>11</v>
      </c>
      <c r="E382" t="s">
        <v>12</v>
      </c>
      <c r="F382">
        <v>-9.1</v>
      </c>
      <c r="G382">
        <v>0.80900000000000005</v>
      </c>
      <c r="H382">
        <v>7.2590000000000003</v>
      </c>
      <c r="I382">
        <v>5.8725310000000004</v>
      </c>
      <c r="K382" t="str">
        <f>INDEX([1]Sheet1!$A$1:$G$108, MATCH(B382,[1]Sheet1!$B:$B,0), 1)</f>
        <v>Nordihydroguaiaretic acid</v>
      </c>
      <c r="L382" t="str">
        <f>INDEX([1]Sheet1!$A$1:$G$108, MATCH(B382,[1]Sheet1!$B:$B,0), 3)</f>
        <v>moderate</v>
      </c>
      <c r="M382" t="s">
        <v>109</v>
      </c>
    </row>
    <row r="383" spans="1:13" x14ac:dyDescent="0.3">
      <c r="A383" t="s">
        <v>60</v>
      </c>
      <c r="B383" t="str">
        <f>_xlfn.TEXTBEFORE(_xlfn.TEXTAFTER(A383,"cas-"),"_")</f>
        <v>500-38-9</v>
      </c>
      <c r="C383" t="s">
        <v>21</v>
      </c>
      <c r="D383" t="s">
        <v>11</v>
      </c>
      <c r="E383" t="s">
        <v>12</v>
      </c>
      <c r="F383">
        <v>-9.48</v>
      </c>
      <c r="G383">
        <v>0.79020000000000001</v>
      </c>
      <c r="H383">
        <v>7.173</v>
      </c>
      <c r="I383">
        <v>5.6681046000000004</v>
      </c>
      <c r="K383" t="str">
        <f>INDEX([1]Sheet1!$A$1:$G$108, MATCH(B383,[1]Sheet1!$B:$B,0), 1)</f>
        <v>Nordihydroguaiaretic acid</v>
      </c>
      <c r="L383" t="str">
        <f>INDEX([1]Sheet1!$A$1:$G$108, MATCH(B383,[1]Sheet1!$B:$B,0), 3)</f>
        <v>moderate</v>
      </c>
      <c r="M383" t="s">
        <v>109</v>
      </c>
    </row>
    <row r="384" spans="1:13" x14ac:dyDescent="0.3">
      <c r="A384" t="s">
        <v>60</v>
      </c>
      <c r="B384" t="str">
        <f>_xlfn.TEXTBEFORE(_xlfn.TEXTAFTER(A384,"cas-"),"_")</f>
        <v>500-38-9</v>
      </c>
      <c r="C384" t="s">
        <v>13</v>
      </c>
      <c r="D384" t="s">
        <v>14</v>
      </c>
      <c r="E384" t="s">
        <v>12</v>
      </c>
      <c r="F384">
        <v>-8.4600000000000009</v>
      </c>
      <c r="G384">
        <v>0.73960000000000004</v>
      </c>
      <c r="H384">
        <v>6.8529999999999998</v>
      </c>
      <c r="I384">
        <v>5.0684788000000003</v>
      </c>
      <c r="K384" t="str">
        <f>INDEX([1]Sheet1!$A$1:$G$108, MATCH(B384,[1]Sheet1!$B:$B,0), 1)</f>
        <v>Nordihydroguaiaretic acid</v>
      </c>
      <c r="L384" t="str">
        <f>INDEX([1]Sheet1!$A$1:$G$108, MATCH(B384,[1]Sheet1!$B:$B,0), 3)</f>
        <v>moderate</v>
      </c>
      <c r="M384" t="s">
        <v>109</v>
      </c>
    </row>
    <row r="385" spans="1:13" x14ac:dyDescent="0.3">
      <c r="A385" t="s">
        <v>60</v>
      </c>
      <c r="B385" t="str">
        <f>_xlfn.TEXTBEFORE(_xlfn.TEXTAFTER(A385,"cas-"),"_")</f>
        <v>500-38-9</v>
      </c>
      <c r="C385" t="s">
        <v>30</v>
      </c>
      <c r="D385" t="s">
        <v>31</v>
      </c>
      <c r="E385" t="s">
        <v>12</v>
      </c>
      <c r="F385">
        <v>-8.4700000000000006</v>
      </c>
      <c r="G385">
        <v>0.83589999999999998</v>
      </c>
      <c r="H385">
        <v>7.1980000000000004</v>
      </c>
      <c r="I385">
        <v>6.0168081999999998</v>
      </c>
      <c r="K385" t="str">
        <f>INDEX([1]Sheet1!$A$1:$G$108, MATCH(B385,[1]Sheet1!$B:$B,0), 1)</f>
        <v>Nordihydroguaiaretic acid</v>
      </c>
      <c r="L385" t="str">
        <f>INDEX([1]Sheet1!$A$1:$G$108, MATCH(B385,[1]Sheet1!$B:$B,0), 3)</f>
        <v>moderate</v>
      </c>
      <c r="M385" t="s">
        <v>109</v>
      </c>
    </row>
    <row r="386" spans="1:13" x14ac:dyDescent="0.3">
      <c r="A386" t="s">
        <v>60</v>
      </c>
      <c r="B386" t="str">
        <f>_xlfn.TEXTBEFORE(_xlfn.TEXTAFTER(A386,"cas-"),"_")</f>
        <v>500-38-9</v>
      </c>
      <c r="C386" t="s">
        <v>28</v>
      </c>
      <c r="D386" t="s">
        <v>29</v>
      </c>
      <c r="E386" t="s">
        <v>12</v>
      </c>
      <c r="F386">
        <v>-8.42</v>
      </c>
      <c r="G386">
        <v>0.76219999999999999</v>
      </c>
      <c r="H386">
        <v>7.0529999999999999</v>
      </c>
      <c r="I386">
        <v>5.3757966000000001</v>
      </c>
      <c r="K386" t="str">
        <f>INDEX([1]Sheet1!$A$1:$G$108, MATCH(B386,[1]Sheet1!$B:$B,0), 1)</f>
        <v>Nordihydroguaiaretic acid</v>
      </c>
      <c r="L386" t="str">
        <f>INDEX([1]Sheet1!$A$1:$G$108, MATCH(B386,[1]Sheet1!$B:$B,0), 3)</f>
        <v>moderate</v>
      </c>
      <c r="M386" t="s">
        <v>109</v>
      </c>
    </row>
    <row r="387" spans="1:13" x14ac:dyDescent="0.3">
      <c r="A387" t="s">
        <v>60</v>
      </c>
      <c r="B387" t="str">
        <f>_xlfn.TEXTBEFORE(_xlfn.TEXTAFTER(A387,"cas-"),"_")</f>
        <v>500-38-9</v>
      </c>
      <c r="C387" t="s">
        <v>27</v>
      </c>
      <c r="D387" t="s">
        <v>11</v>
      </c>
      <c r="E387" t="s">
        <v>12</v>
      </c>
      <c r="F387">
        <v>-9.07</v>
      </c>
      <c r="G387">
        <v>0.71309999999999996</v>
      </c>
      <c r="H387">
        <v>7.14</v>
      </c>
      <c r="I387">
        <v>5.0915339999999993</v>
      </c>
      <c r="K387" t="str">
        <f>INDEX([1]Sheet1!$A$1:$G$108, MATCH(B387,[1]Sheet1!$B:$B,0), 1)</f>
        <v>Nordihydroguaiaretic acid</v>
      </c>
      <c r="L387" t="str">
        <f>INDEX([1]Sheet1!$A$1:$G$108, MATCH(B387,[1]Sheet1!$B:$B,0), 3)</f>
        <v>moderate</v>
      </c>
      <c r="M387" t="s">
        <v>109</v>
      </c>
    </row>
    <row r="388" spans="1:13" x14ac:dyDescent="0.3">
      <c r="A388" t="s">
        <v>60</v>
      </c>
      <c r="B388" t="str">
        <f>_xlfn.TEXTBEFORE(_xlfn.TEXTAFTER(A388,"cas-"),"_")</f>
        <v>500-38-9</v>
      </c>
      <c r="C388" t="s">
        <v>26</v>
      </c>
      <c r="D388" t="s">
        <v>14</v>
      </c>
      <c r="E388" t="s">
        <v>12</v>
      </c>
      <c r="F388">
        <v>-9.5299999999999994</v>
      </c>
      <c r="G388">
        <v>0.81910000000000005</v>
      </c>
      <c r="H388">
        <v>7.569</v>
      </c>
      <c r="I388">
        <v>6.1997679000000003</v>
      </c>
      <c r="K388" t="str">
        <f>INDEX([1]Sheet1!$A$1:$G$108, MATCH(B388,[1]Sheet1!$B:$B,0), 1)</f>
        <v>Nordihydroguaiaretic acid</v>
      </c>
      <c r="L388" t="str">
        <f>INDEX([1]Sheet1!$A$1:$G$108, MATCH(B388,[1]Sheet1!$B:$B,0), 3)</f>
        <v>moderate</v>
      </c>
      <c r="M388" t="s">
        <v>109</v>
      </c>
    </row>
    <row r="389" spans="1:13" x14ac:dyDescent="0.3">
      <c r="A389" t="s">
        <v>60</v>
      </c>
      <c r="B389" t="str">
        <f>_xlfn.TEXTBEFORE(_xlfn.TEXTAFTER(A389,"cas-"),"_")</f>
        <v>500-38-9</v>
      </c>
      <c r="C389" t="s">
        <v>22</v>
      </c>
      <c r="D389" t="s">
        <v>23</v>
      </c>
      <c r="E389" t="s">
        <v>12</v>
      </c>
      <c r="F389">
        <v>-9.3800000000000008</v>
      </c>
      <c r="G389">
        <v>0.73250000000000004</v>
      </c>
      <c r="H389">
        <v>7.5209999999999999</v>
      </c>
      <c r="I389">
        <v>5.5091325000000007</v>
      </c>
      <c r="K389" t="str">
        <f>INDEX([1]Sheet1!$A$1:$G$108, MATCH(B389,[1]Sheet1!$B:$B,0), 1)</f>
        <v>Nordihydroguaiaretic acid</v>
      </c>
      <c r="L389" t="str">
        <f>INDEX([1]Sheet1!$A$1:$G$108, MATCH(B389,[1]Sheet1!$B:$B,0), 3)</f>
        <v>moderate</v>
      </c>
      <c r="M389" t="s">
        <v>109</v>
      </c>
    </row>
    <row r="390" spans="1:13" x14ac:dyDescent="0.3">
      <c r="A390" t="s">
        <v>60</v>
      </c>
      <c r="B390" t="str">
        <f>_xlfn.TEXTBEFORE(_xlfn.TEXTAFTER(A390,"cas-"),"_")</f>
        <v>500-38-9</v>
      </c>
      <c r="C390" t="s">
        <v>18</v>
      </c>
      <c r="D390" t="s">
        <v>11</v>
      </c>
      <c r="E390" t="s">
        <v>12</v>
      </c>
      <c r="F390">
        <v>-9.1199999999999992</v>
      </c>
      <c r="G390">
        <v>0.78639999999999999</v>
      </c>
      <c r="H390">
        <v>7.0049999999999999</v>
      </c>
      <c r="I390">
        <v>5.5087320000000002</v>
      </c>
      <c r="K390" t="str">
        <f>INDEX([1]Sheet1!$A$1:$G$108, MATCH(B390,[1]Sheet1!$B:$B,0), 1)</f>
        <v>Nordihydroguaiaretic acid</v>
      </c>
      <c r="L390" t="str">
        <f>INDEX([1]Sheet1!$A$1:$G$108, MATCH(B390,[1]Sheet1!$B:$B,0), 3)</f>
        <v>moderate</v>
      </c>
      <c r="M390" t="s">
        <v>109</v>
      </c>
    </row>
    <row r="391" spans="1:13" x14ac:dyDescent="0.3">
      <c r="A391" t="s">
        <v>60</v>
      </c>
      <c r="B391" t="str">
        <f>_xlfn.TEXTBEFORE(_xlfn.TEXTAFTER(A391,"cas-"),"_")</f>
        <v>500-38-9</v>
      </c>
      <c r="C391" t="s">
        <v>24</v>
      </c>
      <c r="D391" t="s">
        <v>25</v>
      </c>
      <c r="E391" t="s">
        <v>12</v>
      </c>
      <c r="F391">
        <v>-8.8000000000000007</v>
      </c>
      <c r="G391">
        <v>0.79400000000000004</v>
      </c>
      <c r="H391">
        <v>7.298</v>
      </c>
      <c r="I391">
        <v>5.7946120000000008</v>
      </c>
      <c r="K391" t="str">
        <f>INDEX([1]Sheet1!$A$1:$G$108, MATCH(B391,[1]Sheet1!$B:$B,0), 1)</f>
        <v>Nordihydroguaiaretic acid</v>
      </c>
      <c r="L391" t="str">
        <f>INDEX([1]Sheet1!$A$1:$G$108, MATCH(B391,[1]Sheet1!$B:$B,0), 3)</f>
        <v>moderate</v>
      </c>
      <c r="M391" t="s">
        <v>109</v>
      </c>
    </row>
    <row r="392" spans="1:13" x14ac:dyDescent="0.3">
      <c r="A392" t="s">
        <v>61</v>
      </c>
      <c r="B392" t="str">
        <f>_xlfn.TEXTBEFORE(_xlfn.TEXTAFTER(A392,"cas-"),"_")</f>
        <v>5108-94-1</v>
      </c>
      <c r="C392" t="s">
        <v>22</v>
      </c>
      <c r="D392" t="s">
        <v>23</v>
      </c>
      <c r="E392" t="s">
        <v>12</v>
      </c>
      <c r="F392">
        <v>-8.76</v>
      </c>
      <c r="G392">
        <v>0.68840000000000001</v>
      </c>
      <c r="H392">
        <v>7.7220000000000004</v>
      </c>
      <c r="I392">
        <v>5.3158248000000006</v>
      </c>
      <c r="K392" t="str">
        <f>INDEX([1]Sheet1!$A$1:$G$108, MATCH(B392,[1]Sheet1!$B:$B,0), 1)</f>
        <v>16b-OH-16-Methyl-3-methyl-estradiol</v>
      </c>
      <c r="L392" t="str">
        <f>INDEX([1]Sheet1!$A$1:$G$108, MATCH(B392,[1]Sheet1!$B:$B,0), 3)</f>
        <v>moderate</v>
      </c>
      <c r="M392" t="s">
        <v>109</v>
      </c>
    </row>
    <row r="393" spans="1:13" x14ac:dyDescent="0.3">
      <c r="A393" t="s">
        <v>61</v>
      </c>
      <c r="B393" t="str">
        <f>_xlfn.TEXTBEFORE(_xlfn.TEXTAFTER(A393,"cas-"),"_")</f>
        <v>5108-94-1</v>
      </c>
      <c r="C393" t="s">
        <v>28</v>
      </c>
      <c r="D393" t="s">
        <v>29</v>
      </c>
      <c r="E393" t="s">
        <v>12</v>
      </c>
      <c r="F393">
        <v>-4.3600000000000003</v>
      </c>
      <c r="G393">
        <v>0.70450000000000002</v>
      </c>
      <c r="H393">
        <v>7.77</v>
      </c>
      <c r="I393">
        <v>5.4739649999999997</v>
      </c>
      <c r="K393" t="str">
        <f>INDEX([1]Sheet1!$A$1:$G$108, MATCH(B393,[1]Sheet1!$B:$B,0), 1)</f>
        <v>16b-OH-16-Methyl-3-methyl-estradiol</v>
      </c>
      <c r="L393" t="str">
        <f>INDEX([1]Sheet1!$A$1:$G$108, MATCH(B393,[1]Sheet1!$B:$B,0), 3)</f>
        <v>moderate</v>
      </c>
      <c r="M393" t="s">
        <v>109</v>
      </c>
    </row>
    <row r="394" spans="1:13" x14ac:dyDescent="0.3">
      <c r="A394" t="s">
        <v>61</v>
      </c>
      <c r="B394" t="str">
        <f>_xlfn.TEXTBEFORE(_xlfn.TEXTAFTER(A394,"cas-"),"_")</f>
        <v>5108-94-1</v>
      </c>
      <c r="C394" t="s">
        <v>19</v>
      </c>
      <c r="D394" t="s">
        <v>20</v>
      </c>
      <c r="E394" t="s">
        <v>12</v>
      </c>
      <c r="F394">
        <v>-1.84</v>
      </c>
      <c r="G394">
        <v>0.56410000000000005</v>
      </c>
      <c r="H394">
        <v>7.5220000000000002</v>
      </c>
      <c r="I394">
        <v>4.2431602000000002</v>
      </c>
      <c r="K394" t="str">
        <f>INDEX([1]Sheet1!$A$1:$G$108, MATCH(B394,[1]Sheet1!$B:$B,0), 1)</f>
        <v>16b-OH-16-Methyl-3-methyl-estradiol</v>
      </c>
      <c r="L394" t="str">
        <f>INDEX([1]Sheet1!$A$1:$G$108, MATCH(B394,[1]Sheet1!$B:$B,0), 3)</f>
        <v>moderate</v>
      </c>
      <c r="M394" t="s">
        <v>109</v>
      </c>
    </row>
    <row r="395" spans="1:13" x14ac:dyDescent="0.3">
      <c r="A395" t="s">
        <v>61</v>
      </c>
      <c r="B395" t="str">
        <f>_xlfn.TEXTBEFORE(_xlfn.TEXTAFTER(A395,"cas-"),"_")</f>
        <v>5108-94-1</v>
      </c>
      <c r="C395" t="s">
        <v>17</v>
      </c>
      <c r="D395" t="s">
        <v>11</v>
      </c>
      <c r="E395" t="s">
        <v>12</v>
      </c>
      <c r="F395">
        <v>-4.58</v>
      </c>
      <c r="G395">
        <v>0.63949999999999996</v>
      </c>
      <c r="H395">
        <v>7.915</v>
      </c>
      <c r="I395">
        <v>5.0616424999999996</v>
      </c>
      <c r="K395" t="str">
        <f>INDEX([1]Sheet1!$A$1:$G$108, MATCH(B395,[1]Sheet1!$B:$B,0), 1)</f>
        <v>16b-OH-16-Methyl-3-methyl-estradiol</v>
      </c>
      <c r="L395" t="str">
        <f>INDEX([1]Sheet1!$A$1:$G$108, MATCH(B395,[1]Sheet1!$B:$B,0), 3)</f>
        <v>moderate</v>
      </c>
      <c r="M395" t="s">
        <v>109</v>
      </c>
    </row>
    <row r="396" spans="1:13" x14ac:dyDescent="0.3">
      <c r="A396" t="s">
        <v>61</v>
      </c>
      <c r="B396" t="str">
        <f>_xlfn.TEXTBEFORE(_xlfn.TEXTAFTER(A396,"cas-"),"_")</f>
        <v>5108-94-1</v>
      </c>
      <c r="C396" t="s">
        <v>27</v>
      </c>
      <c r="D396" t="s">
        <v>11</v>
      </c>
      <c r="E396" t="s">
        <v>12</v>
      </c>
      <c r="F396">
        <v>-4.3899999999999997</v>
      </c>
      <c r="G396">
        <v>0.64049999999999996</v>
      </c>
      <c r="H396">
        <v>7.7720000000000002</v>
      </c>
      <c r="I396">
        <v>4.9779659999999986</v>
      </c>
      <c r="K396" t="str">
        <f>INDEX([1]Sheet1!$A$1:$G$108, MATCH(B396,[1]Sheet1!$B:$B,0), 1)</f>
        <v>16b-OH-16-Methyl-3-methyl-estradiol</v>
      </c>
      <c r="L396" t="str">
        <f>INDEX([1]Sheet1!$A$1:$G$108, MATCH(B396,[1]Sheet1!$B:$B,0), 3)</f>
        <v>moderate</v>
      </c>
      <c r="M396" t="s">
        <v>109</v>
      </c>
    </row>
    <row r="397" spans="1:13" x14ac:dyDescent="0.3">
      <c r="A397" t="s">
        <v>61</v>
      </c>
      <c r="B397" t="str">
        <f>_xlfn.TEXTBEFORE(_xlfn.TEXTAFTER(A397,"cas-"),"_")</f>
        <v>5108-94-1</v>
      </c>
      <c r="C397" t="s">
        <v>18</v>
      </c>
      <c r="D397" t="s">
        <v>11</v>
      </c>
      <c r="E397" t="s">
        <v>12</v>
      </c>
      <c r="F397">
        <v>-6.49</v>
      </c>
      <c r="G397">
        <v>0.72250000000000003</v>
      </c>
      <c r="H397">
        <v>7.931</v>
      </c>
      <c r="I397">
        <v>5.7301475000000002</v>
      </c>
      <c r="K397" t="str">
        <f>INDEX([1]Sheet1!$A$1:$G$108, MATCH(B397,[1]Sheet1!$B:$B,0), 1)</f>
        <v>16b-OH-16-Methyl-3-methyl-estradiol</v>
      </c>
      <c r="L397" t="str">
        <f>INDEX([1]Sheet1!$A$1:$G$108, MATCH(B397,[1]Sheet1!$B:$B,0), 3)</f>
        <v>moderate</v>
      </c>
      <c r="M397" t="s">
        <v>109</v>
      </c>
    </row>
    <row r="398" spans="1:13" x14ac:dyDescent="0.3">
      <c r="A398" t="s">
        <v>61</v>
      </c>
      <c r="B398" t="str">
        <f>_xlfn.TEXTBEFORE(_xlfn.TEXTAFTER(A398,"cas-"),"_")</f>
        <v>5108-94-1</v>
      </c>
      <c r="C398" t="s">
        <v>26</v>
      </c>
      <c r="D398" t="s">
        <v>14</v>
      </c>
      <c r="E398" t="s">
        <v>12</v>
      </c>
      <c r="F398">
        <v>-7.87</v>
      </c>
      <c r="G398">
        <v>0.81179999999999997</v>
      </c>
      <c r="H398">
        <v>8.1189999999999998</v>
      </c>
      <c r="I398">
        <v>6.5910042000000004</v>
      </c>
      <c r="K398" t="str">
        <f>INDEX([1]Sheet1!$A$1:$G$108, MATCH(B398,[1]Sheet1!$B:$B,0), 1)</f>
        <v>16b-OH-16-Methyl-3-methyl-estradiol</v>
      </c>
      <c r="L398" t="str">
        <f>INDEX([1]Sheet1!$A$1:$G$108, MATCH(B398,[1]Sheet1!$B:$B,0), 3)</f>
        <v>moderate</v>
      </c>
      <c r="M398" t="s">
        <v>109</v>
      </c>
    </row>
    <row r="399" spans="1:13" x14ac:dyDescent="0.3">
      <c r="A399" t="s">
        <v>61</v>
      </c>
      <c r="B399" t="str">
        <f>_xlfn.TEXTBEFORE(_xlfn.TEXTAFTER(A399,"cas-"),"_")</f>
        <v>5108-94-1</v>
      </c>
      <c r="C399" t="s">
        <v>21</v>
      </c>
      <c r="D399" t="s">
        <v>11</v>
      </c>
      <c r="E399" t="s">
        <v>12</v>
      </c>
      <c r="F399">
        <v>-10.039999999999999</v>
      </c>
      <c r="G399">
        <v>0.74050000000000005</v>
      </c>
      <c r="H399">
        <v>7.7080000000000002</v>
      </c>
      <c r="I399">
        <v>5.7077740000000006</v>
      </c>
      <c r="K399" t="str">
        <f>INDEX([1]Sheet1!$A$1:$G$108, MATCH(B399,[1]Sheet1!$B:$B,0), 1)</f>
        <v>16b-OH-16-Methyl-3-methyl-estradiol</v>
      </c>
      <c r="L399" t="str">
        <f>INDEX([1]Sheet1!$A$1:$G$108, MATCH(B399,[1]Sheet1!$B:$B,0), 3)</f>
        <v>moderate</v>
      </c>
      <c r="M399" t="s">
        <v>109</v>
      </c>
    </row>
    <row r="400" spans="1:13" x14ac:dyDescent="0.3">
      <c r="A400" t="s">
        <v>61</v>
      </c>
      <c r="B400" t="str">
        <f>_xlfn.TEXTBEFORE(_xlfn.TEXTAFTER(A400,"cas-"),"_")</f>
        <v>5108-94-1</v>
      </c>
      <c r="C400" t="s">
        <v>13</v>
      </c>
      <c r="D400" t="s">
        <v>14</v>
      </c>
      <c r="E400" t="s">
        <v>12</v>
      </c>
      <c r="F400">
        <v>-7.79</v>
      </c>
      <c r="G400">
        <v>0.69199999999999995</v>
      </c>
      <c r="H400">
        <v>7.992</v>
      </c>
      <c r="I400">
        <v>5.5304639999999994</v>
      </c>
      <c r="K400" t="str">
        <f>INDEX([1]Sheet1!$A$1:$G$108, MATCH(B400,[1]Sheet1!$B:$B,0), 1)</f>
        <v>16b-OH-16-Methyl-3-methyl-estradiol</v>
      </c>
      <c r="L400" t="str">
        <f>INDEX([1]Sheet1!$A$1:$G$108, MATCH(B400,[1]Sheet1!$B:$B,0), 3)</f>
        <v>moderate</v>
      </c>
      <c r="M400" t="s">
        <v>109</v>
      </c>
    </row>
    <row r="401" spans="1:13" x14ac:dyDescent="0.3">
      <c r="A401" t="s">
        <v>61</v>
      </c>
      <c r="B401" t="str">
        <f>_xlfn.TEXTBEFORE(_xlfn.TEXTAFTER(A401,"cas-"),"_")</f>
        <v>5108-94-1</v>
      </c>
      <c r="C401" t="s">
        <v>15</v>
      </c>
      <c r="D401" t="s">
        <v>16</v>
      </c>
      <c r="E401" t="s">
        <v>12</v>
      </c>
      <c r="F401">
        <v>-6.79</v>
      </c>
      <c r="G401">
        <v>0.73939999999999995</v>
      </c>
      <c r="H401">
        <v>7.9729999999999999</v>
      </c>
      <c r="I401">
        <v>5.8952361999999994</v>
      </c>
      <c r="K401" t="str">
        <f>INDEX([1]Sheet1!$A$1:$G$108, MATCH(B401,[1]Sheet1!$B:$B,0), 1)</f>
        <v>16b-OH-16-Methyl-3-methyl-estradiol</v>
      </c>
      <c r="L401" t="str">
        <f>INDEX([1]Sheet1!$A$1:$G$108, MATCH(B401,[1]Sheet1!$B:$B,0), 3)</f>
        <v>moderate</v>
      </c>
      <c r="M401" t="s">
        <v>109</v>
      </c>
    </row>
    <row r="402" spans="1:13" x14ac:dyDescent="0.3">
      <c r="A402" t="s">
        <v>61</v>
      </c>
      <c r="B402" t="str">
        <f>_xlfn.TEXTBEFORE(_xlfn.TEXTAFTER(A402,"cas-"),"_")</f>
        <v>5108-94-1</v>
      </c>
      <c r="C402" t="s">
        <v>30</v>
      </c>
      <c r="D402" t="s">
        <v>31</v>
      </c>
      <c r="E402" t="s">
        <v>12</v>
      </c>
      <c r="F402">
        <v>-2.71</v>
      </c>
      <c r="G402">
        <v>0.69069999999999998</v>
      </c>
      <c r="H402">
        <v>7.8620000000000001</v>
      </c>
      <c r="I402">
        <v>5.4302834000000004</v>
      </c>
      <c r="K402" t="str">
        <f>INDEX([1]Sheet1!$A$1:$G$108, MATCH(B402,[1]Sheet1!$B:$B,0), 1)</f>
        <v>16b-OH-16-Methyl-3-methyl-estradiol</v>
      </c>
      <c r="L402" t="str">
        <f>INDEX([1]Sheet1!$A$1:$G$108, MATCH(B402,[1]Sheet1!$B:$B,0), 3)</f>
        <v>moderate</v>
      </c>
      <c r="M402" t="s">
        <v>109</v>
      </c>
    </row>
    <row r="403" spans="1:13" x14ac:dyDescent="0.3">
      <c r="A403" t="s">
        <v>61</v>
      </c>
      <c r="B403" t="str">
        <f>_xlfn.TEXTBEFORE(_xlfn.TEXTAFTER(A403,"cas-"),"_")</f>
        <v>5108-94-1</v>
      </c>
      <c r="C403" t="s">
        <v>24</v>
      </c>
      <c r="D403" t="s">
        <v>25</v>
      </c>
      <c r="E403" t="s">
        <v>12</v>
      </c>
      <c r="F403">
        <v>-5.2</v>
      </c>
      <c r="G403">
        <v>0.66110000000000002</v>
      </c>
      <c r="H403">
        <v>7.8479999999999999</v>
      </c>
      <c r="I403">
        <v>5.1883128000000003</v>
      </c>
      <c r="K403" t="str">
        <f>INDEX([1]Sheet1!$A$1:$G$108, MATCH(B403,[1]Sheet1!$B:$B,0), 1)</f>
        <v>16b-OH-16-Methyl-3-methyl-estradiol</v>
      </c>
      <c r="L403" t="str">
        <f>INDEX([1]Sheet1!$A$1:$G$108, MATCH(B403,[1]Sheet1!$B:$B,0), 3)</f>
        <v>moderate</v>
      </c>
      <c r="M403" t="s">
        <v>109</v>
      </c>
    </row>
    <row r="404" spans="1:13" x14ac:dyDescent="0.3">
      <c r="A404" t="s">
        <v>61</v>
      </c>
      <c r="B404" t="str">
        <f>_xlfn.TEXTBEFORE(_xlfn.TEXTAFTER(A404,"cas-"),"_")</f>
        <v>5108-94-1</v>
      </c>
      <c r="C404" t="s">
        <v>10</v>
      </c>
      <c r="D404" t="s">
        <v>11</v>
      </c>
      <c r="E404" t="s">
        <v>12</v>
      </c>
      <c r="F404">
        <v>-5.74</v>
      </c>
      <c r="G404">
        <v>0.75590000000000002</v>
      </c>
      <c r="H404">
        <v>7.9249999999999998</v>
      </c>
      <c r="I404">
        <v>5.9905074999999997</v>
      </c>
      <c r="K404" t="str">
        <f>INDEX([1]Sheet1!$A$1:$G$108, MATCH(B404,[1]Sheet1!$B:$B,0), 1)</f>
        <v>16b-OH-16-Methyl-3-methyl-estradiol</v>
      </c>
      <c r="L404" t="str">
        <f>INDEX([1]Sheet1!$A$1:$G$108, MATCH(B404,[1]Sheet1!$B:$B,0), 3)</f>
        <v>moderate</v>
      </c>
      <c r="M404" t="s">
        <v>109</v>
      </c>
    </row>
    <row r="405" spans="1:13" x14ac:dyDescent="0.3">
      <c r="A405" t="s">
        <v>62</v>
      </c>
      <c r="B405" t="str">
        <f>_xlfn.TEXTBEFORE(_xlfn.TEXTAFTER(A405,"cas-"),"_")</f>
        <v>5153-25-3</v>
      </c>
      <c r="C405" t="s">
        <v>19</v>
      </c>
      <c r="D405" t="s">
        <v>20</v>
      </c>
      <c r="E405" t="s">
        <v>12</v>
      </c>
      <c r="F405">
        <v>-7.25</v>
      </c>
      <c r="G405">
        <v>0.90259999999999996</v>
      </c>
      <c r="H405">
        <v>6.6760000000000002</v>
      </c>
      <c r="I405">
        <v>6.0257575999999986</v>
      </c>
      <c r="K405" t="str">
        <f>INDEX([1]Sheet1!$A$1:$G$108, MATCH(B405,[1]Sheet1!$B:$B,0), 1)</f>
        <v>2-Ethylhexyl-4-hydroxybenzoate</v>
      </c>
      <c r="L405" t="str">
        <f>INDEX([1]Sheet1!$A$1:$G$108, MATCH(B405,[1]Sheet1!$B:$B,0), 3)</f>
        <v>moderate</v>
      </c>
      <c r="M405" t="s">
        <v>109</v>
      </c>
    </row>
    <row r="406" spans="1:13" x14ac:dyDescent="0.3">
      <c r="A406" t="s">
        <v>62</v>
      </c>
      <c r="B406" t="str">
        <f>_xlfn.TEXTBEFORE(_xlfn.TEXTAFTER(A406,"cas-"),"_")</f>
        <v>5153-25-3</v>
      </c>
      <c r="C406" t="s">
        <v>26</v>
      </c>
      <c r="D406" t="s">
        <v>14</v>
      </c>
      <c r="E406" t="s">
        <v>12</v>
      </c>
      <c r="F406">
        <v>-7.32</v>
      </c>
      <c r="G406">
        <v>0.92320000000000002</v>
      </c>
      <c r="H406">
        <v>6.8250000000000002</v>
      </c>
      <c r="I406">
        <v>6.30084</v>
      </c>
      <c r="K406" t="str">
        <f>INDEX([1]Sheet1!$A$1:$G$108, MATCH(B406,[1]Sheet1!$B:$B,0), 1)</f>
        <v>2-Ethylhexyl-4-hydroxybenzoate</v>
      </c>
      <c r="L406" t="str">
        <f>INDEX([1]Sheet1!$A$1:$G$108, MATCH(B406,[1]Sheet1!$B:$B,0), 3)</f>
        <v>moderate</v>
      </c>
      <c r="M406" t="s">
        <v>109</v>
      </c>
    </row>
    <row r="407" spans="1:13" x14ac:dyDescent="0.3">
      <c r="A407" t="s">
        <v>62</v>
      </c>
      <c r="B407" t="str">
        <f>_xlfn.TEXTBEFORE(_xlfn.TEXTAFTER(A407,"cas-"),"_")</f>
        <v>5153-25-3</v>
      </c>
      <c r="C407" t="s">
        <v>15</v>
      </c>
      <c r="D407" t="s">
        <v>16</v>
      </c>
      <c r="E407" t="s">
        <v>12</v>
      </c>
      <c r="F407">
        <v>-6.94</v>
      </c>
      <c r="G407">
        <v>0.91590000000000005</v>
      </c>
      <c r="H407">
        <v>6.51</v>
      </c>
      <c r="I407">
        <v>5.9625089999999998</v>
      </c>
      <c r="K407" t="str">
        <f>INDEX([1]Sheet1!$A$1:$G$108, MATCH(B407,[1]Sheet1!$B:$B,0), 1)</f>
        <v>2-Ethylhexyl-4-hydroxybenzoate</v>
      </c>
      <c r="L407" t="str">
        <f>INDEX([1]Sheet1!$A$1:$G$108, MATCH(B407,[1]Sheet1!$B:$B,0), 3)</f>
        <v>moderate</v>
      </c>
      <c r="M407" t="s">
        <v>109</v>
      </c>
    </row>
    <row r="408" spans="1:13" x14ac:dyDescent="0.3">
      <c r="A408" t="s">
        <v>62</v>
      </c>
      <c r="B408" t="str">
        <f>_xlfn.TEXTBEFORE(_xlfn.TEXTAFTER(A408,"cas-"),"_")</f>
        <v>5153-25-3</v>
      </c>
      <c r="C408" t="s">
        <v>21</v>
      </c>
      <c r="D408" t="s">
        <v>11</v>
      </c>
      <c r="E408" t="s">
        <v>12</v>
      </c>
      <c r="F408">
        <v>-7.23</v>
      </c>
      <c r="G408">
        <v>0.9194</v>
      </c>
      <c r="H408">
        <v>7.0629999999999997</v>
      </c>
      <c r="I408">
        <v>6.4937221999999997</v>
      </c>
      <c r="K408" t="str">
        <f>INDEX([1]Sheet1!$A$1:$G$108, MATCH(B408,[1]Sheet1!$B:$B,0), 1)</f>
        <v>2-Ethylhexyl-4-hydroxybenzoate</v>
      </c>
      <c r="L408" t="str">
        <f>INDEX([1]Sheet1!$A$1:$G$108, MATCH(B408,[1]Sheet1!$B:$B,0), 3)</f>
        <v>moderate</v>
      </c>
      <c r="M408" t="s">
        <v>109</v>
      </c>
    </row>
    <row r="409" spans="1:13" x14ac:dyDescent="0.3">
      <c r="A409" t="s">
        <v>62</v>
      </c>
      <c r="B409" t="str">
        <f>_xlfn.TEXTBEFORE(_xlfn.TEXTAFTER(A409,"cas-"),"_")</f>
        <v>5153-25-3</v>
      </c>
      <c r="C409" t="s">
        <v>28</v>
      </c>
      <c r="D409" t="s">
        <v>29</v>
      </c>
      <c r="E409" t="s">
        <v>12</v>
      </c>
      <c r="F409">
        <v>-6.77</v>
      </c>
      <c r="G409">
        <v>0.92490000000000006</v>
      </c>
      <c r="H409">
        <v>7.1280000000000001</v>
      </c>
      <c r="I409">
        <v>6.5926872000000003</v>
      </c>
      <c r="K409" t="str">
        <f>INDEX([1]Sheet1!$A$1:$G$108, MATCH(B409,[1]Sheet1!$B:$B,0), 1)</f>
        <v>2-Ethylhexyl-4-hydroxybenzoate</v>
      </c>
      <c r="L409" t="str">
        <f>INDEX([1]Sheet1!$A$1:$G$108, MATCH(B409,[1]Sheet1!$B:$B,0), 3)</f>
        <v>moderate</v>
      </c>
      <c r="M409" t="s">
        <v>109</v>
      </c>
    </row>
    <row r="410" spans="1:13" x14ac:dyDescent="0.3">
      <c r="A410" t="s">
        <v>62</v>
      </c>
      <c r="B410" t="str">
        <f>_xlfn.TEXTBEFORE(_xlfn.TEXTAFTER(A410,"cas-"),"_")</f>
        <v>5153-25-3</v>
      </c>
      <c r="C410" t="s">
        <v>13</v>
      </c>
      <c r="D410" t="s">
        <v>14</v>
      </c>
      <c r="E410" t="s">
        <v>12</v>
      </c>
      <c r="F410">
        <v>-7.19</v>
      </c>
      <c r="G410">
        <v>0.92559999999999998</v>
      </c>
      <c r="H410">
        <v>7.1159999999999997</v>
      </c>
      <c r="I410">
        <v>6.5865695999999998</v>
      </c>
      <c r="K410" t="str">
        <f>INDEX([1]Sheet1!$A$1:$G$108, MATCH(B410,[1]Sheet1!$B:$B,0), 1)</f>
        <v>2-Ethylhexyl-4-hydroxybenzoate</v>
      </c>
      <c r="L410" t="str">
        <f>INDEX([1]Sheet1!$A$1:$G$108, MATCH(B410,[1]Sheet1!$B:$B,0), 3)</f>
        <v>moderate</v>
      </c>
      <c r="M410" t="s">
        <v>109</v>
      </c>
    </row>
    <row r="411" spans="1:13" x14ac:dyDescent="0.3">
      <c r="A411" t="s">
        <v>62</v>
      </c>
      <c r="B411" t="str">
        <f>_xlfn.TEXTBEFORE(_xlfn.TEXTAFTER(A411,"cas-"),"_")</f>
        <v>5153-25-3</v>
      </c>
      <c r="C411" t="s">
        <v>30</v>
      </c>
      <c r="D411" t="s">
        <v>31</v>
      </c>
      <c r="E411" t="s">
        <v>12</v>
      </c>
      <c r="F411">
        <v>-6.73</v>
      </c>
      <c r="G411">
        <v>0.91439999999999999</v>
      </c>
      <c r="H411">
        <v>6.7859999999999996</v>
      </c>
      <c r="I411">
        <v>6.2051183999999999</v>
      </c>
      <c r="K411" t="str">
        <f>INDEX([1]Sheet1!$A$1:$G$108, MATCH(B411,[1]Sheet1!$B:$B,0), 1)</f>
        <v>2-Ethylhexyl-4-hydroxybenzoate</v>
      </c>
      <c r="L411" t="str">
        <f>INDEX([1]Sheet1!$A$1:$G$108, MATCH(B411,[1]Sheet1!$B:$B,0), 3)</f>
        <v>moderate</v>
      </c>
      <c r="M411" t="s">
        <v>109</v>
      </c>
    </row>
    <row r="412" spans="1:13" x14ac:dyDescent="0.3">
      <c r="A412" t="s">
        <v>62</v>
      </c>
      <c r="B412" t="str">
        <f>_xlfn.TEXTBEFORE(_xlfn.TEXTAFTER(A412,"cas-"),"_")</f>
        <v>5153-25-3</v>
      </c>
      <c r="C412" t="s">
        <v>18</v>
      </c>
      <c r="D412" t="s">
        <v>11</v>
      </c>
      <c r="E412" t="s">
        <v>12</v>
      </c>
      <c r="F412">
        <v>-7.32</v>
      </c>
      <c r="G412">
        <v>0.92620000000000002</v>
      </c>
      <c r="H412">
        <v>6.96</v>
      </c>
      <c r="I412">
        <v>6.4463520000000001</v>
      </c>
      <c r="K412" t="str">
        <f>INDEX([1]Sheet1!$A$1:$G$108, MATCH(B412,[1]Sheet1!$B:$B,0), 1)</f>
        <v>2-Ethylhexyl-4-hydroxybenzoate</v>
      </c>
      <c r="L412" t="str">
        <f>INDEX([1]Sheet1!$A$1:$G$108, MATCH(B412,[1]Sheet1!$B:$B,0), 3)</f>
        <v>moderate</v>
      </c>
      <c r="M412" t="s">
        <v>109</v>
      </c>
    </row>
    <row r="413" spans="1:13" x14ac:dyDescent="0.3">
      <c r="A413" t="s">
        <v>62</v>
      </c>
      <c r="B413" t="str">
        <f>_xlfn.TEXTBEFORE(_xlfn.TEXTAFTER(A413,"cas-"),"_")</f>
        <v>5153-25-3</v>
      </c>
      <c r="C413" t="s">
        <v>22</v>
      </c>
      <c r="D413" t="s">
        <v>23</v>
      </c>
      <c r="E413" t="s">
        <v>12</v>
      </c>
      <c r="F413">
        <v>-7.05</v>
      </c>
      <c r="G413">
        <v>0.88219999999999998</v>
      </c>
      <c r="H413">
        <v>6.5229999999999997</v>
      </c>
      <c r="I413">
        <v>5.7545905999999993</v>
      </c>
      <c r="K413" t="str">
        <f>INDEX([1]Sheet1!$A$1:$G$108, MATCH(B413,[1]Sheet1!$B:$B,0), 1)</f>
        <v>2-Ethylhexyl-4-hydroxybenzoate</v>
      </c>
      <c r="L413" t="str">
        <f>INDEX([1]Sheet1!$A$1:$G$108, MATCH(B413,[1]Sheet1!$B:$B,0), 3)</f>
        <v>moderate</v>
      </c>
      <c r="M413" t="s">
        <v>109</v>
      </c>
    </row>
    <row r="414" spans="1:13" x14ac:dyDescent="0.3">
      <c r="A414" t="s">
        <v>62</v>
      </c>
      <c r="B414" t="str">
        <f>_xlfn.TEXTBEFORE(_xlfn.TEXTAFTER(A414,"cas-"),"_")</f>
        <v>5153-25-3</v>
      </c>
      <c r="C414" t="s">
        <v>17</v>
      </c>
      <c r="D414" t="s">
        <v>11</v>
      </c>
      <c r="E414" t="s">
        <v>12</v>
      </c>
      <c r="F414">
        <v>-7.57</v>
      </c>
      <c r="G414">
        <v>0.9385</v>
      </c>
      <c r="H414">
        <v>7.3949999999999996</v>
      </c>
      <c r="I414">
        <v>6.9402074999999996</v>
      </c>
      <c r="K414" t="str">
        <f>INDEX([1]Sheet1!$A$1:$G$108, MATCH(B414,[1]Sheet1!$B:$B,0), 1)</f>
        <v>2-Ethylhexyl-4-hydroxybenzoate</v>
      </c>
      <c r="L414" t="str">
        <f>INDEX([1]Sheet1!$A$1:$G$108, MATCH(B414,[1]Sheet1!$B:$B,0), 3)</f>
        <v>moderate</v>
      </c>
      <c r="M414" t="s">
        <v>109</v>
      </c>
    </row>
    <row r="415" spans="1:13" x14ac:dyDescent="0.3">
      <c r="A415" t="s">
        <v>62</v>
      </c>
      <c r="B415" t="str">
        <f>_xlfn.TEXTBEFORE(_xlfn.TEXTAFTER(A415,"cas-"),"_")</f>
        <v>5153-25-3</v>
      </c>
      <c r="C415" t="s">
        <v>24</v>
      </c>
      <c r="D415" t="s">
        <v>25</v>
      </c>
      <c r="E415" t="s">
        <v>12</v>
      </c>
      <c r="F415">
        <v>-7.05</v>
      </c>
      <c r="G415">
        <v>0.88149999999999995</v>
      </c>
      <c r="H415">
        <v>6.758</v>
      </c>
      <c r="I415">
        <v>5.9571769999999997</v>
      </c>
      <c r="K415" t="str">
        <f>INDEX([1]Sheet1!$A$1:$G$108, MATCH(B415,[1]Sheet1!$B:$B,0), 1)</f>
        <v>2-Ethylhexyl-4-hydroxybenzoate</v>
      </c>
      <c r="L415" t="str">
        <f>INDEX([1]Sheet1!$A$1:$G$108, MATCH(B415,[1]Sheet1!$B:$B,0), 3)</f>
        <v>moderate</v>
      </c>
      <c r="M415" t="s">
        <v>109</v>
      </c>
    </row>
    <row r="416" spans="1:13" x14ac:dyDescent="0.3">
      <c r="A416" t="s">
        <v>62</v>
      </c>
      <c r="B416" t="str">
        <f>_xlfn.TEXTBEFORE(_xlfn.TEXTAFTER(A416,"cas-"),"_")</f>
        <v>5153-25-3</v>
      </c>
      <c r="C416" t="s">
        <v>10</v>
      </c>
      <c r="D416" t="s">
        <v>11</v>
      </c>
      <c r="E416" t="s">
        <v>12</v>
      </c>
      <c r="F416">
        <v>-6.87</v>
      </c>
      <c r="G416">
        <v>0.93640000000000001</v>
      </c>
      <c r="H416">
        <v>6.569</v>
      </c>
      <c r="I416">
        <v>6.1512115999999999</v>
      </c>
      <c r="K416" t="str">
        <f>INDEX([1]Sheet1!$A$1:$G$108, MATCH(B416,[1]Sheet1!$B:$B,0), 1)</f>
        <v>2-Ethylhexyl-4-hydroxybenzoate</v>
      </c>
      <c r="L416" t="str">
        <f>INDEX([1]Sheet1!$A$1:$G$108, MATCH(B416,[1]Sheet1!$B:$B,0), 3)</f>
        <v>moderate</v>
      </c>
      <c r="M416" t="s">
        <v>109</v>
      </c>
    </row>
    <row r="417" spans="1:13" x14ac:dyDescent="0.3">
      <c r="A417" t="s">
        <v>62</v>
      </c>
      <c r="B417" t="str">
        <f>_xlfn.TEXTBEFORE(_xlfn.TEXTAFTER(A417,"cas-"),"_")</f>
        <v>5153-25-3</v>
      </c>
      <c r="C417" t="s">
        <v>27</v>
      </c>
      <c r="D417" t="s">
        <v>11</v>
      </c>
      <c r="E417" t="s">
        <v>12</v>
      </c>
      <c r="F417">
        <v>-7.47</v>
      </c>
      <c r="G417">
        <v>0.92130000000000001</v>
      </c>
      <c r="H417">
        <v>7.4409999999999998</v>
      </c>
      <c r="I417">
        <v>6.8553933000000002</v>
      </c>
      <c r="K417" t="str">
        <f>INDEX([1]Sheet1!$A$1:$G$108, MATCH(B417,[1]Sheet1!$B:$B,0), 1)</f>
        <v>2-Ethylhexyl-4-hydroxybenzoate</v>
      </c>
      <c r="L417" t="str">
        <f>INDEX([1]Sheet1!$A$1:$G$108, MATCH(B417,[1]Sheet1!$B:$B,0), 3)</f>
        <v>moderate</v>
      </c>
      <c r="M417" t="s">
        <v>109</v>
      </c>
    </row>
    <row r="418" spans="1:13" x14ac:dyDescent="0.3">
      <c r="A418" t="s">
        <v>63</v>
      </c>
      <c r="B418" t="str">
        <f>_xlfn.TEXTBEFORE(_xlfn.TEXTAFTER(A418,"cas-"),"_")</f>
        <v>521-18-6</v>
      </c>
      <c r="C418" t="s">
        <v>28</v>
      </c>
      <c r="D418" t="s">
        <v>29</v>
      </c>
      <c r="E418" t="s">
        <v>12</v>
      </c>
      <c r="F418">
        <v>-9.06</v>
      </c>
      <c r="G418">
        <v>0.75019999999999998</v>
      </c>
      <c r="H418">
        <v>7.444</v>
      </c>
      <c r="I418">
        <v>5.5844887999999999</v>
      </c>
      <c r="K418" t="str">
        <f>INDEX([1]Sheet1!$A$1:$G$108, MATCH(B418,[1]Sheet1!$B:$B,0), 1)</f>
        <v>Dihydrotestosterone</v>
      </c>
      <c r="L418" t="str">
        <f>INDEX([1]Sheet1!$A$1:$G$108, MATCH(B418,[1]Sheet1!$B:$B,0), 3)</f>
        <v>weak</v>
      </c>
      <c r="M418" t="s">
        <v>109</v>
      </c>
    </row>
    <row r="419" spans="1:13" x14ac:dyDescent="0.3">
      <c r="A419" t="s">
        <v>63</v>
      </c>
      <c r="B419" t="str">
        <f>_xlfn.TEXTBEFORE(_xlfn.TEXTAFTER(A419,"cas-"),"_")</f>
        <v>521-18-6</v>
      </c>
      <c r="C419" t="s">
        <v>30</v>
      </c>
      <c r="D419" t="s">
        <v>31</v>
      </c>
      <c r="E419" t="s">
        <v>12</v>
      </c>
      <c r="F419">
        <v>-9.61</v>
      </c>
      <c r="G419">
        <v>0.65710000000000002</v>
      </c>
      <c r="H419">
        <v>7.5949999999999998</v>
      </c>
      <c r="I419">
        <v>4.9906744999999999</v>
      </c>
      <c r="K419" t="str">
        <f>INDEX([1]Sheet1!$A$1:$G$108, MATCH(B419,[1]Sheet1!$B:$B,0), 1)</f>
        <v>Dihydrotestosterone</v>
      </c>
      <c r="L419" t="str">
        <f>INDEX([1]Sheet1!$A$1:$G$108, MATCH(B419,[1]Sheet1!$B:$B,0), 3)</f>
        <v>weak</v>
      </c>
      <c r="M419" t="s">
        <v>109</v>
      </c>
    </row>
    <row r="420" spans="1:13" x14ac:dyDescent="0.3">
      <c r="A420" t="s">
        <v>63</v>
      </c>
      <c r="B420" t="str">
        <f>_xlfn.TEXTBEFORE(_xlfn.TEXTAFTER(A420,"cas-"),"_")</f>
        <v>521-18-6</v>
      </c>
      <c r="C420" t="s">
        <v>26</v>
      </c>
      <c r="D420" t="s">
        <v>14</v>
      </c>
      <c r="E420" t="s">
        <v>12</v>
      </c>
      <c r="F420">
        <v>-10.07</v>
      </c>
      <c r="G420">
        <v>0.89300000000000002</v>
      </c>
      <c r="H420">
        <v>7.6980000000000004</v>
      </c>
      <c r="I420">
        <v>6.874314</v>
      </c>
      <c r="K420" t="str">
        <f>INDEX([1]Sheet1!$A$1:$G$108, MATCH(B420,[1]Sheet1!$B:$B,0), 1)</f>
        <v>Dihydrotestosterone</v>
      </c>
      <c r="L420" t="str">
        <f>INDEX([1]Sheet1!$A$1:$G$108, MATCH(B420,[1]Sheet1!$B:$B,0), 3)</f>
        <v>weak</v>
      </c>
      <c r="M420" t="s">
        <v>109</v>
      </c>
    </row>
    <row r="421" spans="1:13" x14ac:dyDescent="0.3">
      <c r="A421" t="s">
        <v>63</v>
      </c>
      <c r="B421" t="str">
        <f>_xlfn.TEXTBEFORE(_xlfn.TEXTAFTER(A421,"cas-"),"_")</f>
        <v>521-18-6</v>
      </c>
      <c r="C421" t="s">
        <v>13</v>
      </c>
      <c r="D421" t="s">
        <v>14</v>
      </c>
      <c r="E421" t="s">
        <v>12</v>
      </c>
      <c r="F421">
        <v>-9.86</v>
      </c>
      <c r="G421">
        <v>0.85509999999999997</v>
      </c>
      <c r="H421">
        <v>8.1660000000000004</v>
      </c>
      <c r="I421">
        <v>6.9827465999999996</v>
      </c>
      <c r="K421" t="str">
        <f>INDEX([1]Sheet1!$A$1:$G$108, MATCH(B421,[1]Sheet1!$B:$B,0), 1)</f>
        <v>Dihydrotestosterone</v>
      </c>
      <c r="L421" t="str">
        <f>INDEX([1]Sheet1!$A$1:$G$108, MATCH(B421,[1]Sheet1!$B:$B,0), 3)</f>
        <v>weak</v>
      </c>
      <c r="M421" t="s">
        <v>109</v>
      </c>
    </row>
    <row r="422" spans="1:13" x14ac:dyDescent="0.3">
      <c r="A422" t="s">
        <v>63</v>
      </c>
      <c r="B422" t="str">
        <f>_xlfn.TEXTBEFORE(_xlfn.TEXTAFTER(A422,"cas-"),"_")</f>
        <v>521-18-6</v>
      </c>
      <c r="C422" t="s">
        <v>24</v>
      </c>
      <c r="D422" t="s">
        <v>25</v>
      </c>
      <c r="E422" t="s">
        <v>12</v>
      </c>
      <c r="F422">
        <v>-9.6</v>
      </c>
      <c r="G422">
        <v>0.87780000000000002</v>
      </c>
      <c r="H422">
        <v>7.8879999999999999</v>
      </c>
      <c r="I422">
        <v>6.9240864000000002</v>
      </c>
      <c r="K422" t="str">
        <f>INDEX([1]Sheet1!$A$1:$G$108, MATCH(B422,[1]Sheet1!$B:$B,0), 1)</f>
        <v>Dihydrotestosterone</v>
      </c>
      <c r="L422" t="str">
        <f>INDEX([1]Sheet1!$A$1:$G$108, MATCH(B422,[1]Sheet1!$B:$B,0), 3)</f>
        <v>weak</v>
      </c>
      <c r="M422" t="s">
        <v>109</v>
      </c>
    </row>
    <row r="423" spans="1:13" x14ac:dyDescent="0.3">
      <c r="A423" t="s">
        <v>63</v>
      </c>
      <c r="B423" t="str">
        <f>_xlfn.TEXTBEFORE(_xlfn.TEXTAFTER(A423,"cas-"),"_")</f>
        <v>521-18-6</v>
      </c>
      <c r="C423" t="s">
        <v>22</v>
      </c>
      <c r="D423" t="s">
        <v>23</v>
      </c>
      <c r="E423" t="s">
        <v>12</v>
      </c>
      <c r="F423">
        <v>-9.92</v>
      </c>
      <c r="G423">
        <v>0.87029999999999996</v>
      </c>
      <c r="H423">
        <v>7.7309999999999999</v>
      </c>
      <c r="I423">
        <v>6.7282892999999993</v>
      </c>
      <c r="K423" t="str">
        <f>INDEX([1]Sheet1!$A$1:$G$108, MATCH(B423,[1]Sheet1!$B:$B,0), 1)</f>
        <v>Dihydrotestosterone</v>
      </c>
      <c r="L423" t="str">
        <f>INDEX([1]Sheet1!$A$1:$G$108, MATCH(B423,[1]Sheet1!$B:$B,0), 3)</f>
        <v>weak</v>
      </c>
      <c r="M423" t="s">
        <v>109</v>
      </c>
    </row>
    <row r="424" spans="1:13" x14ac:dyDescent="0.3">
      <c r="A424" t="s">
        <v>63</v>
      </c>
      <c r="B424" t="str">
        <f>_xlfn.TEXTBEFORE(_xlfn.TEXTAFTER(A424,"cas-"),"_")</f>
        <v>521-18-6</v>
      </c>
      <c r="C424" t="s">
        <v>10</v>
      </c>
      <c r="D424" t="s">
        <v>11</v>
      </c>
      <c r="E424" t="s">
        <v>12</v>
      </c>
      <c r="F424">
        <v>-10.42</v>
      </c>
      <c r="G424">
        <v>0.95150000000000001</v>
      </c>
      <c r="H424">
        <v>8.0060000000000002</v>
      </c>
      <c r="I424">
        <v>7.6177090000000014</v>
      </c>
      <c r="K424" t="str">
        <f>INDEX([1]Sheet1!$A$1:$G$108, MATCH(B424,[1]Sheet1!$B:$B,0), 1)</f>
        <v>Dihydrotestosterone</v>
      </c>
      <c r="L424" t="str">
        <f>INDEX([1]Sheet1!$A$1:$G$108, MATCH(B424,[1]Sheet1!$B:$B,0), 3)</f>
        <v>weak</v>
      </c>
      <c r="M424" t="s">
        <v>109</v>
      </c>
    </row>
    <row r="425" spans="1:13" x14ac:dyDescent="0.3">
      <c r="A425" t="s">
        <v>63</v>
      </c>
      <c r="B425" t="str">
        <f>_xlfn.TEXTBEFORE(_xlfn.TEXTAFTER(A425,"cas-"),"_")</f>
        <v>521-18-6</v>
      </c>
      <c r="C425" t="s">
        <v>18</v>
      </c>
      <c r="D425" t="s">
        <v>11</v>
      </c>
      <c r="E425" t="s">
        <v>12</v>
      </c>
      <c r="F425">
        <v>-10.92</v>
      </c>
      <c r="G425">
        <v>0.94840000000000002</v>
      </c>
      <c r="H425">
        <v>8.0739999999999998</v>
      </c>
      <c r="I425">
        <v>7.6573815999999999</v>
      </c>
      <c r="K425" t="str">
        <f>INDEX([1]Sheet1!$A$1:$G$108, MATCH(B425,[1]Sheet1!$B:$B,0), 1)</f>
        <v>Dihydrotestosterone</v>
      </c>
      <c r="L425" t="str">
        <f>INDEX([1]Sheet1!$A$1:$G$108, MATCH(B425,[1]Sheet1!$B:$B,0), 3)</f>
        <v>weak</v>
      </c>
      <c r="M425" t="s">
        <v>109</v>
      </c>
    </row>
    <row r="426" spans="1:13" x14ac:dyDescent="0.3">
      <c r="A426" t="s">
        <v>63</v>
      </c>
      <c r="B426" t="str">
        <f>_xlfn.TEXTBEFORE(_xlfn.TEXTAFTER(A426,"cas-"),"_")</f>
        <v>521-18-6</v>
      </c>
      <c r="C426" t="s">
        <v>17</v>
      </c>
      <c r="D426" t="s">
        <v>11</v>
      </c>
      <c r="E426" t="s">
        <v>12</v>
      </c>
      <c r="F426">
        <v>-10.72</v>
      </c>
      <c r="G426">
        <v>0.92730000000000001</v>
      </c>
      <c r="H426">
        <v>7.96</v>
      </c>
      <c r="I426">
        <v>7.3813079999999998</v>
      </c>
      <c r="K426" t="str">
        <f>INDEX([1]Sheet1!$A$1:$G$108, MATCH(B426,[1]Sheet1!$B:$B,0), 1)</f>
        <v>Dihydrotestosterone</v>
      </c>
      <c r="L426" t="str">
        <f>INDEX([1]Sheet1!$A$1:$G$108, MATCH(B426,[1]Sheet1!$B:$B,0), 3)</f>
        <v>weak</v>
      </c>
      <c r="M426" t="s">
        <v>109</v>
      </c>
    </row>
    <row r="427" spans="1:13" x14ac:dyDescent="0.3">
      <c r="A427" t="s">
        <v>63</v>
      </c>
      <c r="B427" t="str">
        <f>_xlfn.TEXTBEFORE(_xlfn.TEXTAFTER(A427,"cas-"),"_")</f>
        <v>521-18-6</v>
      </c>
      <c r="C427" t="s">
        <v>27</v>
      </c>
      <c r="D427" t="s">
        <v>11</v>
      </c>
      <c r="E427" t="s">
        <v>12</v>
      </c>
      <c r="F427">
        <v>-11.04</v>
      </c>
      <c r="G427">
        <v>0.91400000000000003</v>
      </c>
      <c r="H427">
        <v>7.8689999999999998</v>
      </c>
      <c r="I427">
        <v>7.192266</v>
      </c>
      <c r="K427" t="str">
        <f>INDEX([1]Sheet1!$A$1:$G$108, MATCH(B427,[1]Sheet1!$B:$B,0), 1)</f>
        <v>Dihydrotestosterone</v>
      </c>
      <c r="L427" t="str">
        <f>INDEX([1]Sheet1!$A$1:$G$108, MATCH(B427,[1]Sheet1!$B:$B,0), 3)</f>
        <v>weak</v>
      </c>
      <c r="M427" t="s">
        <v>109</v>
      </c>
    </row>
    <row r="428" spans="1:13" x14ac:dyDescent="0.3">
      <c r="A428" t="s">
        <v>63</v>
      </c>
      <c r="B428" t="str">
        <f>_xlfn.TEXTBEFORE(_xlfn.TEXTAFTER(A428,"cas-"),"_")</f>
        <v>521-18-6</v>
      </c>
      <c r="C428" t="s">
        <v>15</v>
      </c>
      <c r="D428" t="s">
        <v>16</v>
      </c>
      <c r="E428" t="s">
        <v>12</v>
      </c>
      <c r="F428">
        <v>-10.1</v>
      </c>
      <c r="G428">
        <v>0.8891</v>
      </c>
      <c r="H428">
        <v>7.8029999999999999</v>
      </c>
      <c r="I428">
        <v>6.9376473000000001</v>
      </c>
      <c r="K428" t="str">
        <f>INDEX([1]Sheet1!$A$1:$G$108, MATCH(B428,[1]Sheet1!$B:$B,0), 1)</f>
        <v>Dihydrotestosterone</v>
      </c>
      <c r="L428" t="str">
        <f>INDEX([1]Sheet1!$A$1:$G$108, MATCH(B428,[1]Sheet1!$B:$B,0), 3)</f>
        <v>weak</v>
      </c>
      <c r="M428" t="s">
        <v>109</v>
      </c>
    </row>
    <row r="429" spans="1:13" x14ac:dyDescent="0.3">
      <c r="A429" t="s">
        <v>63</v>
      </c>
      <c r="B429" t="str">
        <f>_xlfn.TEXTBEFORE(_xlfn.TEXTAFTER(A429,"cas-"),"_")</f>
        <v>521-18-6</v>
      </c>
      <c r="C429" t="s">
        <v>19</v>
      </c>
      <c r="D429" t="s">
        <v>20</v>
      </c>
      <c r="E429" t="s">
        <v>12</v>
      </c>
      <c r="F429">
        <v>-9.18</v>
      </c>
      <c r="G429">
        <v>0.83279999999999998</v>
      </c>
      <c r="H429">
        <v>7.8159999999999998</v>
      </c>
      <c r="I429">
        <v>6.5091647999999998</v>
      </c>
      <c r="K429" t="str">
        <f>INDEX([1]Sheet1!$A$1:$G$108, MATCH(B429,[1]Sheet1!$B:$B,0), 1)</f>
        <v>Dihydrotestosterone</v>
      </c>
      <c r="L429" t="str">
        <f>INDEX([1]Sheet1!$A$1:$G$108, MATCH(B429,[1]Sheet1!$B:$B,0), 3)</f>
        <v>weak</v>
      </c>
      <c r="M429" t="s">
        <v>109</v>
      </c>
    </row>
    <row r="430" spans="1:13" x14ac:dyDescent="0.3">
      <c r="A430" t="s">
        <v>63</v>
      </c>
      <c r="B430" t="str">
        <f>_xlfn.TEXTBEFORE(_xlfn.TEXTAFTER(A430,"cas-"),"_")</f>
        <v>521-18-6</v>
      </c>
      <c r="C430" t="s">
        <v>21</v>
      </c>
      <c r="D430" t="s">
        <v>11</v>
      </c>
      <c r="E430" t="s">
        <v>12</v>
      </c>
      <c r="F430">
        <v>-10.92</v>
      </c>
      <c r="G430">
        <v>0.90510000000000002</v>
      </c>
      <c r="H430">
        <v>7.891</v>
      </c>
      <c r="I430">
        <v>7.1421441000000003</v>
      </c>
      <c r="K430" t="str">
        <f>INDEX([1]Sheet1!$A$1:$G$108, MATCH(B430,[1]Sheet1!$B:$B,0), 1)</f>
        <v>Dihydrotestosterone</v>
      </c>
      <c r="L430" t="str">
        <f>INDEX([1]Sheet1!$A$1:$G$108, MATCH(B430,[1]Sheet1!$B:$B,0), 3)</f>
        <v>weak</v>
      </c>
      <c r="M430" t="s">
        <v>109</v>
      </c>
    </row>
    <row r="431" spans="1:13" x14ac:dyDescent="0.3">
      <c r="A431" t="s">
        <v>64</v>
      </c>
      <c r="B431" t="str">
        <f>_xlfn.TEXTBEFORE(_xlfn.TEXTAFTER(A431,"cas-"),"_")</f>
        <v>53-45-2</v>
      </c>
      <c r="C431" t="s">
        <v>18</v>
      </c>
      <c r="D431" t="s">
        <v>11</v>
      </c>
      <c r="E431" t="s">
        <v>12</v>
      </c>
      <c r="F431">
        <v>-10.75</v>
      </c>
      <c r="G431">
        <v>0.95689999999999997</v>
      </c>
      <c r="H431">
        <v>7.2030000000000003</v>
      </c>
      <c r="I431">
        <v>6.8925507000000001</v>
      </c>
      <c r="K431" t="str">
        <f>INDEX([1]Sheet1!$A$1:$G$108, MATCH(B431,[1]Sheet1!$B:$B,0), 1)</f>
        <v>3-Deoxy-estrone</v>
      </c>
      <c r="L431" t="str">
        <f>INDEX([1]Sheet1!$A$1:$G$108, MATCH(B431,[1]Sheet1!$B:$B,0), 3)</f>
        <v>weak</v>
      </c>
      <c r="M431" t="s">
        <v>109</v>
      </c>
    </row>
    <row r="432" spans="1:13" x14ac:dyDescent="0.3">
      <c r="A432" t="s">
        <v>64</v>
      </c>
      <c r="B432" t="str">
        <f>_xlfn.TEXTBEFORE(_xlfn.TEXTAFTER(A432,"cas-"),"_")</f>
        <v>53-45-2</v>
      </c>
      <c r="C432" t="s">
        <v>24</v>
      </c>
      <c r="D432" t="s">
        <v>25</v>
      </c>
      <c r="E432" t="s">
        <v>12</v>
      </c>
      <c r="F432">
        <v>-10.36</v>
      </c>
      <c r="G432">
        <v>0.94640000000000002</v>
      </c>
      <c r="H432">
        <v>7.1079999999999997</v>
      </c>
      <c r="I432">
        <v>6.7270111999999997</v>
      </c>
      <c r="K432" t="str">
        <f>INDEX([1]Sheet1!$A$1:$G$108, MATCH(B432,[1]Sheet1!$B:$B,0), 1)</f>
        <v>3-Deoxy-estrone</v>
      </c>
      <c r="L432" t="str">
        <f>INDEX([1]Sheet1!$A$1:$G$108, MATCH(B432,[1]Sheet1!$B:$B,0), 3)</f>
        <v>weak</v>
      </c>
      <c r="M432" t="s">
        <v>109</v>
      </c>
    </row>
    <row r="433" spans="1:13" x14ac:dyDescent="0.3">
      <c r="A433" t="s">
        <v>64</v>
      </c>
      <c r="B433" t="str">
        <f>_xlfn.TEXTBEFORE(_xlfn.TEXTAFTER(A433,"cas-"),"_")</f>
        <v>53-45-2</v>
      </c>
      <c r="C433" t="s">
        <v>13</v>
      </c>
      <c r="D433" t="s">
        <v>14</v>
      </c>
      <c r="E433" t="s">
        <v>12</v>
      </c>
      <c r="F433">
        <v>-10.66</v>
      </c>
      <c r="G433">
        <v>0.93879999999999997</v>
      </c>
      <c r="H433">
        <v>7.2839999999999998</v>
      </c>
      <c r="I433">
        <v>6.8382191999999993</v>
      </c>
      <c r="K433" t="str">
        <f>INDEX([1]Sheet1!$A$1:$G$108, MATCH(B433,[1]Sheet1!$B:$B,0), 1)</f>
        <v>3-Deoxy-estrone</v>
      </c>
      <c r="L433" t="str">
        <f>INDEX([1]Sheet1!$A$1:$G$108, MATCH(B433,[1]Sheet1!$B:$B,0), 3)</f>
        <v>weak</v>
      </c>
      <c r="M433" t="s">
        <v>109</v>
      </c>
    </row>
    <row r="434" spans="1:13" x14ac:dyDescent="0.3">
      <c r="A434" t="s">
        <v>64</v>
      </c>
      <c r="B434" t="str">
        <f>_xlfn.TEXTBEFORE(_xlfn.TEXTAFTER(A434,"cas-"),"_")</f>
        <v>53-45-2</v>
      </c>
      <c r="C434" t="s">
        <v>15</v>
      </c>
      <c r="D434" t="s">
        <v>16</v>
      </c>
      <c r="E434" t="s">
        <v>12</v>
      </c>
      <c r="F434">
        <v>-10.49</v>
      </c>
      <c r="G434">
        <v>0.96079999999999999</v>
      </c>
      <c r="H434">
        <v>7.29</v>
      </c>
      <c r="I434">
        <v>7.004232</v>
      </c>
      <c r="K434" t="str">
        <f>INDEX([1]Sheet1!$A$1:$G$108, MATCH(B434,[1]Sheet1!$B:$B,0), 1)</f>
        <v>3-Deoxy-estrone</v>
      </c>
      <c r="L434" t="str">
        <f>INDEX([1]Sheet1!$A$1:$G$108, MATCH(B434,[1]Sheet1!$B:$B,0), 3)</f>
        <v>weak</v>
      </c>
      <c r="M434" t="s">
        <v>109</v>
      </c>
    </row>
    <row r="435" spans="1:13" x14ac:dyDescent="0.3">
      <c r="A435" t="s">
        <v>64</v>
      </c>
      <c r="B435" t="str">
        <f>_xlfn.TEXTBEFORE(_xlfn.TEXTAFTER(A435,"cas-"),"_")</f>
        <v>53-45-2</v>
      </c>
      <c r="C435" t="s">
        <v>10</v>
      </c>
      <c r="D435" t="s">
        <v>11</v>
      </c>
      <c r="E435" t="s">
        <v>12</v>
      </c>
      <c r="F435">
        <v>-10.74</v>
      </c>
      <c r="G435">
        <v>0.97609999999999997</v>
      </c>
      <c r="H435">
        <v>7.3</v>
      </c>
      <c r="I435">
        <v>7.1255299999999986</v>
      </c>
      <c r="K435" t="str">
        <f>INDEX([1]Sheet1!$A$1:$G$108, MATCH(B435,[1]Sheet1!$B:$B,0), 1)</f>
        <v>3-Deoxy-estrone</v>
      </c>
      <c r="L435" t="str">
        <f>INDEX([1]Sheet1!$A$1:$G$108, MATCH(B435,[1]Sheet1!$B:$B,0), 3)</f>
        <v>weak</v>
      </c>
      <c r="M435" t="s">
        <v>109</v>
      </c>
    </row>
    <row r="436" spans="1:13" x14ac:dyDescent="0.3">
      <c r="A436" t="s">
        <v>64</v>
      </c>
      <c r="B436" t="str">
        <f>_xlfn.TEXTBEFORE(_xlfn.TEXTAFTER(A436,"cas-"),"_")</f>
        <v>53-45-2</v>
      </c>
      <c r="C436" t="s">
        <v>28</v>
      </c>
      <c r="D436" t="s">
        <v>29</v>
      </c>
      <c r="E436" t="s">
        <v>12</v>
      </c>
      <c r="F436">
        <v>-8.73</v>
      </c>
      <c r="G436">
        <v>0.70299999999999996</v>
      </c>
      <c r="H436">
        <v>6.8440000000000003</v>
      </c>
      <c r="I436">
        <v>4.8113320000000002</v>
      </c>
      <c r="K436" t="str">
        <f>INDEX([1]Sheet1!$A$1:$G$108, MATCH(B436,[1]Sheet1!$B:$B,0), 1)</f>
        <v>3-Deoxy-estrone</v>
      </c>
      <c r="L436" t="str">
        <f>INDEX([1]Sheet1!$A$1:$G$108, MATCH(B436,[1]Sheet1!$B:$B,0), 3)</f>
        <v>weak</v>
      </c>
      <c r="M436" t="s">
        <v>109</v>
      </c>
    </row>
    <row r="437" spans="1:13" x14ac:dyDescent="0.3">
      <c r="A437" t="s">
        <v>64</v>
      </c>
      <c r="B437" t="str">
        <f>_xlfn.TEXTBEFORE(_xlfn.TEXTAFTER(A437,"cas-"),"_")</f>
        <v>53-45-2</v>
      </c>
      <c r="C437" t="s">
        <v>30</v>
      </c>
      <c r="D437" t="s">
        <v>31</v>
      </c>
      <c r="E437" t="s">
        <v>12</v>
      </c>
      <c r="F437">
        <v>-8.75</v>
      </c>
      <c r="G437">
        <v>0.77229999999999999</v>
      </c>
      <c r="H437">
        <v>7.0010000000000003</v>
      </c>
      <c r="I437">
        <v>5.4068722999999999</v>
      </c>
      <c r="K437" t="str">
        <f>INDEX([1]Sheet1!$A$1:$G$108, MATCH(B437,[1]Sheet1!$B:$B,0), 1)</f>
        <v>3-Deoxy-estrone</v>
      </c>
      <c r="L437" t="str">
        <f>INDEX([1]Sheet1!$A$1:$G$108, MATCH(B437,[1]Sheet1!$B:$B,0), 3)</f>
        <v>weak</v>
      </c>
      <c r="M437" t="s">
        <v>109</v>
      </c>
    </row>
    <row r="438" spans="1:13" x14ac:dyDescent="0.3">
      <c r="A438" t="s">
        <v>64</v>
      </c>
      <c r="B438" t="str">
        <f>_xlfn.TEXTBEFORE(_xlfn.TEXTAFTER(A438,"cas-"),"_")</f>
        <v>53-45-2</v>
      </c>
      <c r="C438" t="s">
        <v>27</v>
      </c>
      <c r="D438" t="s">
        <v>11</v>
      </c>
      <c r="E438" t="s">
        <v>12</v>
      </c>
      <c r="F438">
        <v>-10.99</v>
      </c>
      <c r="G438">
        <v>0.96560000000000001</v>
      </c>
      <c r="H438">
        <v>7.24</v>
      </c>
      <c r="I438">
        <v>6.9909440000000007</v>
      </c>
      <c r="K438" t="str">
        <f>INDEX([1]Sheet1!$A$1:$G$108, MATCH(B438,[1]Sheet1!$B:$B,0), 1)</f>
        <v>3-Deoxy-estrone</v>
      </c>
      <c r="L438" t="str">
        <f>INDEX([1]Sheet1!$A$1:$G$108, MATCH(B438,[1]Sheet1!$B:$B,0), 3)</f>
        <v>weak</v>
      </c>
      <c r="M438" t="s">
        <v>109</v>
      </c>
    </row>
    <row r="439" spans="1:13" x14ac:dyDescent="0.3">
      <c r="A439" t="s">
        <v>64</v>
      </c>
      <c r="B439" t="str">
        <f>_xlfn.TEXTBEFORE(_xlfn.TEXTAFTER(A439,"cas-"),"_")</f>
        <v>53-45-2</v>
      </c>
      <c r="C439" t="s">
        <v>17</v>
      </c>
      <c r="D439" t="s">
        <v>11</v>
      </c>
      <c r="E439" t="s">
        <v>12</v>
      </c>
      <c r="F439">
        <v>-10.74</v>
      </c>
      <c r="G439">
        <v>0.93830000000000002</v>
      </c>
      <c r="H439">
        <v>7.1779999999999999</v>
      </c>
      <c r="I439">
        <v>6.7351174</v>
      </c>
      <c r="K439" t="str">
        <f>INDEX([1]Sheet1!$A$1:$G$108, MATCH(B439,[1]Sheet1!$B:$B,0), 1)</f>
        <v>3-Deoxy-estrone</v>
      </c>
      <c r="L439" t="str">
        <f>INDEX([1]Sheet1!$A$1:$G$108, MATCH(B439,[1]Sheet1!$B:$B,0), 3)</f>
        <v>weak</v>
      </c>
      <c r="M439" t="s">
        <v>109</v>
      </c>
    </row>
    <row r="440" spans="1:13" x14ac:dyDescent="0.3">
      <c r="A440" t="s">
        <v>64</v>
      </c>
      <c r="B440" t="str">
        <f>_xlfn.TEXTBEFORE(_xlfn.TEXTAFTER(A440,"cas-"),"_")</f>
        <v>53-45-2</v>
      </c>
      <c r="C440" t="s">
        <v>22</v>
      </c>
      <c r="D440" t="s">
        <v>23</v>
      </c>
      <c r="E440" t="s">
        <v>12</v>
      </c>
      <c r="F440">
        <v>-10.19</v>
      </c>
      <c r="G440">
        <v>0.89480000000000004</v>
      </c>
      <c r="H440">
        <v>6.8739999999999997</v>
      </c>
      <c r="I440">
        <v>6.1508551999999996</v>
      </c>
      <c r="K440" t="str">
        <f>INDEX([1]Sheet1!$A$1:$G$108, MATCH(B440,[1]Sheet1!$B:$B,0), 1)</f>
        <v>3-Deoxy-estrone</v>
      </c>
      <c r="L440" t="str">
        <f>INDEX([1]Sheet1!$A$1:$G$108, MATCH(B440,[1]Sheet1!$B:$B,0), 3)</f>
        <v>weak</v>
      </c>
      <c r="M440" t="s">
        <v>109</v>
      </c>
    </row>
    <row r="441" spans="1:13" x14ac:dyDescent="0.3">
      <c r="A441" t="s">
        <v>64</v>
      </c>
      <c r="B441" t="str">
        <f>_xlfn.TEXTBEFORE(_xlfn.TEXTAFTER(A441,"cas-"),"_")</f>
        <v>53-45-2</v>
      </c>
      <c r="C441" t="s">
        <v>19</v>
      </c>
      <c r="D441" t="s">
        <v>20</v>
      </c>
      <c r="E441" t="s">
        <v>12</v>
      </c>
      <c r="F441">
        <v>-10.68</v>
      </c>
      <c r="G441">
        <v>0.97219999999999995</v>
      </c>
      <c r="H441">
        <v>7.3540000000000001</v>
      </c>
      <c r="I441">
        <v>7.1495587999999994</v>
      </c>
      <c r="K441" t="str">
        <f>INDEX([1]Sheet1!$A$1:$G$108, MATCH(B441,[1]Sheet1!$B:$B,0), 1)</f>
        <v>3-Deoxy-estrone</v>
      </c>
      <c r="L441" t="str">
        <f>INDEX([1]Sheet1!$A$1:$G$108, MATCH(B441,[1]Sheet1!$B:$B,0), 3)</f>
        <v>weak</v>
      </c>
      <c r="M441" t="s">
        <v>109</v>
      </c>
    </row>
    <row r="442" spans="1:13" x14ac:dyDescent="0.3">
      <c r="A442" t="s">
        <v>64</v>
      </c>
      <c r="B442" t="str">
        <f>_xlfn.TEXTBEFORE(_xlfn.TEXTAFTER(A442,"cas-"),"_")</f>
        <v>53-45-2</v>
      </c>
      <c r="C442" t="s">
        <v>26</v>
      </c>
      <c r="D442" t="s">
        <v>14</v>
      </c>
      <c r="E442" t="s">
        <v>12</v>
      </c>
      <c r="F442">
        <v>-10.68</v>
      </c>
      <c r="G442">
        <v>0.9617</v>
      </c>
      <c r="H442">
        <v>7.1420000000000003</v>
      </c>
      <c r="I442">
        <v>6.8684614000000002</v>
      </c>
      <c r="K442" t="str">
        <f>INDEX([1]Sheet1!$A$1:$G$108, MATCH(B442,[1]Sheet1!$B:$B,0), 1)</f>
        <v>3-Deoxy-estrone</v>
      </c>
      <c r="L442" t="str">
        <f>INDEX([1]Sheet1!$A$1:$G$108, MATCH(B442,[1]Sheet1!$B:$B,0), 3)</f>
        <v>weak</v>
      </c>
      <c r="M442" t="s">
        <v>109</v>
      </c>
    </row>
    <row r="443" spans="1:13" x14ac:dyDescent="0.3">
      <c r="A443" t="s">
        <v>64</v>
      </c>
      <c r="B443" t="str">
        <f>_xlfn.TEXTBEFORE(_xlfn.TEXTAFTER(A443,"cas-"),"_")</f>
        <v>53-45-2</v>
      </c>
      <c r="C443" t="s">
        <v>21</v>
      </c>
      <c r="D443" t="s">
        <v>11</v>
      </c>
      <c r="E443" t="s">
        <v>12</v>
      </c>
      <c r="F443">
        <v>-10.89</v>
      </c>
      <c r="G443">
        <v>0.9556</v>
      </c>
      <c r="H443">
        <v>7.1719999999999997</v>
      </c>
      <c r="I443">
        <v>6.8535632</v>
      </c>
      <c r="K443" t="str">
        <f>INDEX([1]Sheet1!$A$1:$G$108, MATCH(B443,[1]Sheet1!$B:$B,0), 1)</f>
        <v>3-Deoxy-estrone</v>
      </c>
      <c r="L443" t="str">
        <f>INDEX([1]Sheet1!$A$1:$G$108, MATCH(B443,[1]Sheet1!$B:$B,0), 3)</f>
        <v>weak</v>
      </c>
      <c r="M443" t="s">
        <v>109</v>
      </c>
    </row>
    <row r="444" spans="1:13" x14ac:dyDescent="0.3">
      <c r="A444" t="s">
        <v>65</v>
      </c>
      <c r="B444" t="str">
        <f>_xlfn.TEXTBEFORE(_xlfn.TEXTAFTER(A444,"cas-"),"_")</f>
        <v>53905-28-5</v>
      </c>
      <c r="C444" t="s">
        <v>19</v>
      </c>
      <c r="D444" t="s">
        <v>20</v>
      </c>
      <c r="E444" t="s">
        <v>12</v>
      </c>
      <c r="F444">
        <v>-7.89</v>
      </c>
      <c r="G444">
        <v>0.94389999999999996</v>
      </c>
      <c r="H444">
        <v>6.984</v>
      </c>
      <c r="I444">
        <v>6.5921976000000004</v>
      </c>
      <c r="K444" t="str">
        <f>INDEX([1]Sheet1!$A$1:$G$108, MATCH(B444,[1]Sheet1!$B:$B,0), 1)</f>
        <v>"2,5-Dichloro-4'-biphenylol"</v>
      </c>
      <c r="L444" t="str">
        <f>INDEX([1]Sheet1!$A$1:$G$108, MATCH(B444,[1]Sheet1!$B:$B,0), 3)</f>
        <v>moderate</v>
      </c>
      <c r="M444" t="s">
        <v>109</v>
      </c>
    </row>
    <row r="445" spans="1:13" x14ac:dyDescent="0.3">
      <c r="A445" t="s">
        <v>65</v>
      </c>
      <c r="B445" t="str">
        <f>_xlfn.TEXTBEFORE(_xlfn.TEXTAFTER(A445,"cas-"),"_")</f>
        <v>53905-28-5</v>
      </c>
      <c r="C445" t="s">
        <v>30</v>
      </c>
      <c r="D445" t="s">
        <v>31</v>
      </c>
      <c r="E445" t="s">
        <v>12</v>
      </c>
      <c r="F445">
        <v>-7.74</v>
      </c>
      <c r="G445">
        <v>0.96719999999999995</v>
      </c>
      <c r="H445">
        <v>7.2569999999999997</v>
      </c>
      <c r="I445">
        <v>7.0189703999999997</v>
      </c>
      <c r="K445" t="str">
        <f>INDEX([1]Sheet1!$A$1:$G$108, MATCH(B445,[1]Sheet1!$B:$B,0), 1)</f>
        <v>"2,5-Dichloro-4'-biphenylol"</v>
      </c>
      <c r="L445" t="str">
        <f>INDEX([1]Sheet1!$A$1:$G$108, MATCH(B445,[1]Sheet1!$B:$B,0), 3)</f>
        <v>moderate</v>
      </c>
      <c r="M445" t="s">
        <v>109</v>
      </c>
    </row>
    <row r="446" spans="1:13" x14ac:dyDescent="0.3">
      <c r="A446" t="s">
        <v>65</v>
      </c>
      <c r="B446" t="str">
        <f>_xlfn.TEXTBEFORE(_xlfn.TEXTAFTER(A446,"cas-"),"_")</f>
        <v>53905-28-5</v>
      </c>
      <c r="C446" t="s">
        <v>15</v>
      </c>
      <c r="D446" t="s">
        <v>16</v>
      </c>
      <c r="E446" t="s">
        <v>12</v>
      </c>
      <c r="F446">
        <v>-8.1199999999999992</v>
      </c>
      <c r="G446">
        <v>0.91310000000000002</v>
      </c>
      <c r="H446">
        <v>6.8739999999999997</v>
      </c>
      <c r="I446">
        <v>6.2766494000000002</v>
      </c>
      <c r="K446" t="str">
        <f>INDEX([1]Sheet1!$A$1:$G$108, MATCH(B446,[1]Sheet1!$B:$B,0), 1)</f>
        <v>"2,5-Dichloro-4'-biphenylol"</v>
      </c>
      <c r="L446" t="str">
        <f>INDEX([1]Sheet1!$A$1:$G$108, MATCH(B446,[1]Sheet1!$B:$B,0), 3)</f>
        <v>moderate</v>
      </c>
      <c r="M446" t="s">
        <v>109</v>
      </c>
    </row>
    <row r="447" spans="1:13" x14ac:dyDescent="0.3">
      <c r="A447" t="s">
        <v>65</v>
      </c>
      <c r="B447" t="str">
        <f>_xlfn.TEXTBEFORE(_xlfn.TEXTAFTER(A447,"cas-"),"_")</f>
        <v>53905-28-5</v>
      </c>
      <c r="C447" t="s">
        <v>13</v>
      </c>
      <c r="D447" t="s">
        <v>14</v>
      </c>
      <c r="E447" t="s">
        <v>12</v>
      </c>
      <c r="F447">
        <v>-7.91</v>
      </c>
      <c r="G447">
        <v>0.95640000000000003</v>
      </c>
      <c r="H447">
        <v>6.9589999999999996</v>
      </c>
      <c r="I447">
        <v>6.6555875999999996</v>
      </c>
      <c r="K447" t="str">
        <f>INDEX([1]Sheet1!$A$1:$G$108, MATCH(B447,[1]Sheet1!$B:$B,0), 1)</f>
        <v>"2,5-Dichloro-4'-biphenylol"</v>
      </c>
      <c r="L447" t="str">
        <f>INDEX([1]Sheet1!$A$1:$G$108, MATCH(B447,[1]Sheet1!$B:$B,0), 3)</f>
        <v>moderate</v>
      </c>
      <c r="M447" t="s">
        <v>109</v>
      </c>
    </row>
    <row r="448" spans="1:13" x14ac:dyDescent="0.3">
      <c r="A448" t="s">
        <v>65</v>
      </c>
      <c r="B448" t="str">
        <f>_xlfn.TEXTBEFORE(_xlfn.TEXTAFTER(A448,"cas-"),"_")</f>
        <v>53905-28-5</v>
      </c>
      <c r="C448" t="s">
        <v>21</v>
      </c>
      <c r="D448" t="s">
        <v>11</v>
      </c>
      <c r="E448" t="s">
        <v>12</v>
      </c>
      <c r="F448">
        <v>-7.63</v>
      </c>
      <c r="G448">
        <v>0.93830000000000002</v>
      </c>
      <c r="H448">
        <v>6.95</v>
      </c>
      <c r="I448">
        <v>6.521185</v>
      </c>
      <c r="K448" t="str">
        <f>INDEX([1]Sheet1!$A$1:$G$108, MATCH(B448,[1]Sheet1!$B:$B,0), 1)</f>
        <v>"2,5-Dichloro-4'-biphenylol"</v>
      </c>
      <c r="L448" t="str">
        <f>INDEX([1]Sheet1!$A$1:$G$108, MATCH(B448,[1]Sheet1!$B:$B,0), 3)</f>
        <v>moderate</v>
      </c>
      <c r="M448" t="s">
        <v>109</v>
      </c>
    </row>
    <row r="449" spans="1:13" x14ac:dyDescent="0.3">
      <c r="A449" t="s">
        <v>65</v>
      </c>
      <c r="B449" t="str">
        <f>_xlfn.TEXTBEFORE(_xlfn.TEXTAFTER(A449,"cas-"),"_")</f>
        <v>53905-28-5</v>
      </c>
      <c r="C449" t="s">
        <v>26</v>
      </c>
      <c r="D449" t="s">
        <v>14</v>
      </c>
      <c r="E449" t="s">
        <v>12</v>
      </c>
      <c r="F449">
        <v>-7.64</v>
      </c>
      <c r="G449">
        <v>0.96709999999999996</v>
      </c>
      <c r="H449">
        <v>7.2770000000000001</v>
      </c>
      <c r="I449">
        <v>7.0375866999999994</v>
      </c>
      <c r="K449" t="str">
        <f>INDEX([1]Sheet1!$A$1:$G$108, MATCH(B449,[1]Sheet1!$B:$B,0), 1)</f>
        <v>"2,5-Dichloro-4'-biphenylol"</v>
      </c>
      <c r="L449" t="str">
        <f>INDEX([1]Sheet1!$A$1:$G$108, MATCH(B449,[1]Sheet1!$B:$B,0), 3)</f>
        <v>moderate</v>
      </c>
      <c r="M449" t="s">
        <v>109</v>
      </c>
    </row>
    <row r="450" spans="1:13" x14ac:dyDescent="0.3">
      <c r="A450" t="s">
        <v>65</v>
      </c>
      <c r="B450" t="str">
        <f>_xlfn.TEXTBEFORE(_xlfn.TEXTAFTER(A450,"cas-"),"_")</f>
        <v>53905-28-5</v>
      </c>
      <c r="C450" t="s">
        <v>22</v>
      </c>
      <c r="D450" t="s">
        <v>23</v>
      </c>
      <c r="E450" t="s">
        <v>12</v>
      </c>
      <c r="F450">
        <v>-7.66</v>
      </c>
      <c r="G450">
        <v>0.94840000000000002</v>
      </c>
      <c r="H450">
        <v>6.8319999999999999</v>
      </c>
      <c r="I450">
        <v>6.4794688000000003</v>
      </c>
      <c r="K450" t="str">
        <f>INDEX([1]Sheet1!$A$1:$G$108, MATCH(B450,[1]Sheet1!$B:$B,0), 1)</f>
        <v>"2,5-Dichloro-4'-biphenylol"</v>
      </c>
      <c r="L450" t="str">
        <f>INDEX([1]Sheet1!$A$1:$G$108, MATCH(B450,[1]Sheet1!$B:$B,0), 3)</f>
        <v>moderate</v>
      </c>
      <c r="M450" t="s">
        <v>109</v>
      </c>
    </row>
    <row r="451" spans="1:13" x14ac:dyDescent="0.3">
      <c r="A451" t="s">
        <v>65</v>
      </c>
      <c r="B451" t="str">
        <f>_xlfn.TEXTBEFORE(_xlfn.TEXTAFTER(A451,"cas-"),"_")</f>
        <v>53905-28-5</v>
      </c>
      <c r="C451" t="s">
        <v>24</v>
      </c>
      <c r="D451" t="s">
        <v>25</v>
      </c>
      <c r="E451" t="s">
        <v>12</v>
      </c>
      <c r="F451">
        <v>-7.98</v>
      </c>
      <c r="G451">
        <v>0.93700000000000006</v>
      </c>
      <c r="H451">
        <v>7.0730000000000004</v>
      </c>
      <c r="I451">
        <v>6.6274010000000008</v>
      </c>
      <c r="K451" t="str">
        <f>INDEX([1]Sheet1!$A$1:$G$108, MATCH(B451,[1]Sheet1!$B:$B,0), 1)</f>
        <v>"2,5-Dichloro-4'-biphenylol"</v>
      </c>
      <c r="L451" t="str">
        <f>INDEX([1]Sheet1!$A$1:$G$108, MATCH(B451,[1]Sheet1!$B:$B,0), 3)</f>
        <v>moderate</v>
      </c>
      <c r="M451" t="s">
        <v>109</v>
      </c>
    </row>
    <row r="452" spans="1:13" x14ac:dyDescent="0.3">
      <c r="A452" t="s">
        <v>65</v>
      </c>
      <c r="B452" t="str">
        <f>_xlfn.TEXTBEFORE(_xlfn.TEXTAFTER(A452,"cas-"),"_")</f>
        <v>53905-28-5</v>
      </c>
      <c r="C452" t="s">
        <v>10</v>
      </c>
      <c r="D452" t="s">
        <v>11</v>
      </c>
      <c r="E452" t="s">
        <v>12</v>
      </c>
      <c r="F452">
        <v>-7.96</v>
      </c>
      <c r="G452">
        <v>0.95440000000000003</v>
      </c>
      <c r="H452">
        <v>7.024</v>
      </c>
      <c r="I452">
        <v>6.7037056000000002</v>
      </c>
      <c r="K452" t="str">
        <f>INDEX([1]Sheet1!$A$1:$G$108, MATCH(B452,[1]Sheet1!$B:$B,0), 1)</f>
        <v>"2,5-Dichloro-4'-biphenylol"</v>
      </c>
      <c r="L452" t="str">
        <f>INDEX([1]Sheet1!$A$1:$G$108, MATCH(B452,[1]Sheet1!$B:$B,0), 3)</f>
        <v>moderate</v>
      </c>
      <c r="M452" t="s">
        <v>109</v>
      </c>
    </row>
    <row r="453" spans="1:13" x14ac:dyDescent="0.3">
      <c r="A453" t="s">
        <v>65</v>
      </c>
      <c r="B453" t="str">
        <f>_xlfn.TEXTBEFORE(_xlfn.TEXTAFTER(A453,"cas-"),"_")</f>
        <v>53905-28-5</v>
      </c>
      <c r="C453" t="s">
        <v>17</v>
      </c>
      <c r="D453" t="s">
        <v>11</v>
      </c>
      <c r="E453" t="s">
        <v>12</v>
      </c>
      <c r="F453">
        <v>-8.2899999999999991</v>
      </c>
      <c r="G453">
        <v>0.94420000000000004</v>
      </c>
      <c r="H453">
        <v>6.9269999999999996</v>
      </c>
      <c r="I453">
        <v>6.5404733999999998</v>
      </c>
      <c r="K453" t="str">
        <f>INDEX([1]Sheet1!$A$1:$G$108, MATCH(B453,[1]Sheet1!$B:$B,0), 1)</f>
        <v>"2,5-Dichloro-4'-biphenylol"</v>
      </c>
      <c r="L453" t="str">
        <f>INDEX([1]Sheet1!$A$1:$G$108, MATCH(B453,[1]Sheet1!$B:$B,0), 3)</f>
        <v>moderate</v>
      </c>
      <c r="M453" t="s">
        <v>109</v>
      </c>
    </row>
    <row r="454" spans="1:13" x14ac:dyDescent="0.3">
      <c r="A454" t="s">
        <v>65</v>
      </c>
      <c r="B454" t="str">
        <f>_xlfn.TEXTBEFORE(_xlfn.TEXTAFTER(A454,"cas-"),"_")</f>
        <v>53905-28-5</v>
      </c>
      <c r="C454" t="s">
        <v>27</v>
      </c>
      <c r="D454" t="s">
        <v>11</v>
      </c>
      <c r="E454" t="s">
        <v>12</v>
      </c>
      <c r="F454">
        <v>-8.67</v>
      </c>
      <c r="G454">
        <v>0.94920000000000004</v>
      </c>
      <c r="H454">
        <v>7.0549999999999997</v>
      </c>
      <c r="I454">
        <v>6.6966060000000001</v>
      </c>
      <c r="K454" t="str">
        <f>INDEX([1]Sheet1!$A$1:$G$108, MATCH(B454,[1]Sheet1!$B:$B,0), 1)</f>
        <v>"2,5-Dichloro-4'-biphenylol"</v>
      </c>
      <c r="L454" t="str">
        <f>INDEX([1]Sheet1!$A$1:$G$108, MATCH(B454,[1]Sheet1!$B:$B,0), 3)</f>
        <v>moderate</v>
      </c>
      <c r="M454" t="s">
        <v>109</v>
      </c>
    </row>
    <row r="455" spans="1:13" x14ac:dyDescent="0.3">
      <c r="A455" t="s">
        <v>65</v>
      </c>
      <c r="B455" t="str">
        <f>_xlfn.TEXTBEFORE(_xlfn.TEXTAFTER(A455,"cas-"),"_")</f>
        <v>53905-28-5</v>
      </c>
      <c r="C455" t="s">
        <v>28</v>
      </c>
      <c r="D455" t="s">
        <v>29</v>
      </c>
      <c r="E455" t="s">
        <v>12</v>
      </c>
      <c r="F455">
        <v>-7.52</v>
      </c>
      <c r="G455">
        <v>0.96799999999999997</v>
      </c>
      <c r="H455">
        <v>7.2229999999999999</v>
      </c>
      <c r="I455">
        <v>6.9918639999999996</v>
      </c>
      <c r="K455" t="str">
        <f>INDEX([1]Sheet1!$A$1:$G$108, MATCH(B455,[1]Sheet1!$B:$B,0), 1)</f>
        <v>"2,5-Dichloro-4'-biphenylol"</v>
      </c>
      <c r="L455" t="str">
        <f>INDEX([1]Sheet1!$A$1:$G$108, MATCH(B455,[1]Sheet1!$B:$B,0), 3)</f>
        <v>moderate</v>
      </c>
      <c r="M455" t="s">
        <v>109</v>
      </c>
    </row>
    <row r="456" spans="1:13" x14ac:dyDescent="0.3">
      <c r="A456" t="s">
        <v>65</v>
      </c>
      <c r="B456" t="str">
        <f>_xlfn.TEXTBEFORE(_xlfn.TEXTAFTER(A456,"cas-"),"_")</f>
        <v>53905-28-5</v>
      </c>
      <c r="C456" t="s">
        <v>18</v>
      </c>
      <c r="D456" t="s">
        <v>11</v>
      </c>
      <c r="E456" t="s">
        <v>12</v>
      </c>
      <c r="F456">
        <v>-8.06</v>
      </c>
      <c r="G456">
        <v>0.94940000000000002</v>
      </c>
      <c r="H456">
        <v>7.2119999999999997</v>
      </c>
      <c r="I456">
        <v>6.8470728000000003</v>
      </c>
      <c r="K456" t="str">
        <f>INDEX([1]Sheet1!$A$1:$G$108, MATCH(B456,[1]Sheet1!$B:$B,0), 1)</f>
        <v>"2,5-Dichloro-4'-biphenylol"</v>
      </c>
      <c r="L456" t="str">
        <f>INDEX([1]Sheet1!$A$1:$G$108, MATCH(B456,[1]Sheet1!$B:$B,0), 3)</f>
        <v>moderate</v>
      </c>
      <c r="M456" t="s">
        <v>109</v>
      </c>
    </row>
    <row r="457" spans="1:13" x14ac:dyDescent="0.3">
      <c r="A457" t="s">
        <v>66</v>
      </c>
      <c r="B457" t="str">
        <f>_xlfn.TEXTBEFORE(_xlfn.TEXTAFTER(A457,"cas-"),"_")</f>
        <v>5394-98-9</v>
      </c>
      <c r="C457" t="s">
        <v>27</v>
      </c>
      <c r="D457" t="s">
        <v>11</v>
      </c>
      <c r="E457" t="s">
        <v>12</v>
      </c>
      <c r="F457">
        <v>-9.08</v>
      </c>
      <c r="G457">
        <v>0.78939999999999999</v>
      </c>
      <c r="H457">
        <v>6.4669999999999996</v>
      </c>
      <c r="I457">
        <v>5.1050497999999997</v>
      </c>
      <c r="K457" t="str">
        <f>INDEX([1]Sheet1!$A$1:$G$108, MATCH(B457,[1]Sheet1!$B:$B,0), 1)</f>
        <v>"2,2',4,4'-Tetrahydroxybenzil"</v>
      </c>
      <c r="L457" t="str">
        <f>INDEX([1]Sheet1!$A$1:$G$108, MATCH(B457,[1]Sheet1!$B:$B,0), 3)</f>
        <v>moderate</v>
      </c>
      <c r="M457" t="s">
        <v>109</v>
      </c>
    </row>
    <row r="458" spans="1:13" x14ac:dyDescent="0.3">
      <c r="A458" t="s">
        <v>66</v>
      </c>
      <c r="B458" t="str">
        <f>_xlfn.TEXTBEFORE(_xlfn.TEXTAFTER(A458,"cas-"),"_")</f>
        <v>5394-98-9</v>
      </c>
      <c r="C458" t="s">
        <v>10</v>
      </c>
      <c r="D458" t="s">
        <v>11</v>
      </c>
      <c r="E458" t="s">
        <v>12</v>
      </c>
      <c r="F458">
        <v>-8.0299999999999994</v>
      </c>
      <c r="G458">
        <v>0.85660000000000003</v>
      </c>
      <c r="H458">
        <v>6.1059999999999999</v>
      </c>
      <c r="I458">
        <v>5.2303996000000001</v>
      </c>
      <c r="K458" t="str">
        <f>INDEX([1]Sheet1!$A$1:$G$108, MATCH(B458,[1]Sheet1!$B:$B,0), 1)</f>
        <v>"2,2',4,4'-Tetrahydroxybenzil"</v>
      </c>
      <c r="L458" t="str">
        <f>INDEX([1]Sheet1!$A$1:$G$108, MATCH(B458,[1]Sheet1!$B:$B,0), 3)</f>
        <v>moderate</v>
      </c>
      <c r="M458" t="s">
        <v>109</v>
      </c>
    </row>
    <row r="459" spans="1:13" x14ac:dyDescent="0.3">
      <c r="A459" t="s">
        <v>66</v>
      </c>
      <c r="B459" t="str">
        <f>_xlfn.TEXTBEFORE(_xlfn.TEXTAFTER(A459,"cas-"),"_")</f>
        <v>5394-98-9</v>
      </c>
      <c r="C459" t="s">
        <v>22</v>
      </c>
      <c r="D459" t="s">
        <v>23</v>
      </c>
      <c r="E459" t="s">
        <v>12</v>
      </c>
      <c r="F459">
        <v>-9.0399999999999991</v>
      </c>
      <c r="G459">
        <v>0.81789999999999996</v>
      </c>
      <c r="H459">
        <v>6.1959999999999997</v>
      </c>
      <c r="I459">
        <v>5.0677083999999999</v>
      </c>
      <c r="K459" t="str">
        <f>INDEX([1]Sheet1!$A$1:$G$108, MATCH(B459,[1]Sheet1!$B:$B,0), 1)</f>
        <v>"2,2',4,4'-Tetrahydroxybenzil"</v>
      </c>
      <c r="L459" t="str">
        <f>INDEX([1]Sheet1!$A$1:$G$108, MATCH(B459,[1]Sheet1!$B:$B,0), 3)</f>
        <v>moderate</v>
      </c>
      <c r="M459" t="s">
        <v>109</v>
      </c>
    </row>
    <row r="460" spans="1:13" x14ac:dyDescent="0.3">
      <c r="A460" t="s">
        <v>66</v>
      </c>
      <c r="B460" t="str">
        <f>_xlfn.TEXTBEFORE(_xlfn.TEXTAFTER(A460,"cas-"),"_")</f>
        <v>5394-98-9</v>
      </c>
      <c r="C460" t="s">
        <v>24</v>
      </c>
      <c r="D460" t="s">
        <v>25</v>
      </c>
      <c r="E460" t="s">
        <v>12</v>
      </c>
      <c r="F460">
        <v>-8.48</v>
      </c>
      <c r="G460">
        <v>0.81469999999999998</v>
      </c>
      <c r="H460">
        <v>6.4020000000000001</v>
      </c>
      <c r="I460">
        <v>5.2157093999999997</v>
      </c>
      <c r="K460" t="str">
        <f>INDEX([1]Sheet1!$A$1:$G$108, MATCH(B460,[1]Sheet1!$B:$B,0), 1)</f>
        <v>"2,2',4,4'-Tetrahydroxybenzil"</v>
      </c>
      <c r="L460" t="str">
        <f>INDEX([1]Sheet1!$A$1:$G$108, MATCH(B460,[1]Sheet1!$B:$B,0), 3)</f>
        <v>moderate</v>
      </c>
      <c r="M460" t="s">
        <v>109</v>
      </c>
    </row>
    <row r="461" spans="1:13" x14ac:dyDescent="0.3">
      <c r="A461" t="s">
        <v>66</v>
      </c>
      <c r="B461" t="str">
        <f>_xlfn.TEXTBEFORE(_xlfn.TEXTAFTER(A461,"cas-"),"_")</f>
        <v>5394-98-9</v>
      </c>
      <c r="C461" t="s">
        <v>18</v>
      </c>
      <c r="D461" t="s">
        <v>11</v>
      </c>
      <c r="E461" t="s">
        <v>12</v>
      </c>
      <c r="F461">
        <v>-8.4</v>
      </c>
      <c r="G461">
        <v>0.85699999999999998</v>
      </c>
      <c r="H461">
        <v>6.532</v>
      </c>
      <c r="I461">
        <v>5.5979239999999999</v>
      </c>
      <c r="K461" t="str">
        <f>INDEX([1]Sheet1!$A$1:$G$108, MATCH(B461,[1]Sheet1!$B:$B,0), 1)</f>
        <v>"2,2',4,4'-Tetrahydroxybenzil"</v>
      </c>
      <c r="L461" t="str">
        <f>INDEX([1]Sheet1!$A$1:$G$108, MATCH(B461,[1]Sheet1!$B:$B,0), 3)</f>
        <v>moderate</v>
      </c>
      <c r="M461" t="s">
        <v>109</v>
      </c>
    </row>
    <row r="462" spans="1:13" x14ac:dyDescent="0.3">
      <c r="A462" t="s">
        <v>66</v>
      </c>
      <c r="B462" t="str">
        <f>_xlfn.TEXTBEFORE(_xlfn.TEXTAFTER(A462,"cas-"),"_")</f>
        <v>5394-98-9</v>
      </c>
      <c r="C462" t="s">
        <v>30</v>
      </c>
      <c r="D462" t="s">
        <v>31</v>
      </c>
      <c r="E462" t="s">
        <v>12</v>
      </c>
      <c r="F462">
        <v>-7.55</v>
      </c>
      <c r="G462">
        <v>0.85089999999999999</v>
      </c>
      <c r="H462">
        <v>6.508</v>
      </c>
      <c r="I462">
        <v>5.5376571999999999</v>
      </c>
      <c r="K462" t="str">
        <f>INDEX([1]Sheet1!$A$1:$G$108, MATCH(B462,[1]Sheet1!$B:$B,0), 1)</f>
        <v>"2,2',4,4'-Tetrahydroxybenzil"</v>
      </c>
      <c r="L462" t="str">
        <f>INDEX([1]Sheet1!$A$1:$G$108, MATCH(B462,[1]Sheet1!$B:$B,0), 3)</f>
        <v>moderate</v>
      </c>
      <c r="M462" t="s">
        <v>109</v>
      </c>
    </row>
    <row r="463" spans="1:13" x14ac:dyDescent="0.3">
      <c r="A463" t="s">
        <v>66</v>
      </c>
      <c r="B463" t="str">
        <f>_xlfn.TEXTBEFORE(_xlfn.TEXTAFTER(A463,"cas-"),"_")</f>
        <v>5394-98-9</v>
      </c>
      <c r="C463" t="s">
        <v>26</v>
      </c>
      <c r="D463" t="s">
        <v>14</v>
      </c>
      <c r="E463" t="s">
        <v>12</v>
      </c>
      <c r="F463">
        <v>-9.3699999999999992</v>
      </c>
      <c r="G463">
        <v>0.91790000000000005</v>
      </c>
      <c r="H463">
        <v>6.0209999999999999</v>
      </c>
      <c r="I463">
        <v>5.5266758999999999</v>
      </c>
      <c r="K463" t="str">
        <f>INDEX([1]Sheet1!$A$1:$G$108, MATCH(B463,[1]Sheet1!$B:$B,0), 1)</f>
        <v>"2,2',4,4'-Tetrahydroxybenzil"</v>
      </c>
      <c r="L463" t="str">
        <f>INDEX([1]Sheet1!$A$1:$G$108, MATCH(B463,[1]Sheet1!$B:$B,0), 3)</f>
        <v>moderate</v>
      </c>
      <c r="M463" t="s">
        <v>109</v>
      </c>
    </row>
    <row r="464" spans="1:13" x14ac:dyDescent="0.3">
      <c r="A464" t="s">
        <v>66</v>
      </c>
      <c r="B464" t="str">
        <f>_xlfn.TEXTBEFORE(_xlfn.TEXTAFTER(A464,"cas-"),"_")</f>
        <v>5394-98-9</v>
      </c>
      <c r="C464" t="s">
        <v>28</v>
      </c>
      <c r="D464" t="s">
        <v>29</v>
      </c>
      <c r="E464" t="s">
        <v>12</v>
      </c>
      <c r="F464">
        <v>-8.2899999999999991</v>
      </c>
      <c r="G464">
        <v>0.76870000000000005</v>
      </c>
      <c r="H464">
        <v>6.2569999999999997</v>
      </c>
      <c r="I464">
        <v>4.8097558999999999</v>
      </c>
      <c r="K464" t="str">
        <f>INDEX([1]Sheet1!$A$1:$G$108, MATCH(B464,[1]Sheet1!$B:$B,0), 1)</f>
        <v>"2,2',4,4'-Tetrahydroxybenzil"</v>
      </c>
      <c r="L464" t="str">
        <f>INDEX([1]Sheet1!$A$1:$G$108, MATCH(B464,[1]Sheet1!$B:$B,0), 3)</f>
        <v>moderate</v>
      </c>
      <c r="M464" t="s">
        <v>109</v>
      </c>
    </row>
    <row r="465" spans="1:13" x14ac:dyDescent="0.3">
      <c r="A465" t="s">
        <v>66</v>
      </c>
      <c r="B465" t="str">
        <f>_xlfn.TEXTBEFORE(_xlfn.TEXTAFTER(A465,"cas-"),"_")</f>
        <v>5394-98-9</v>
      </c>
      <c r="C465" t="s">
        <v>17</v>
      </c>
      <c r="D465" t="s">
        <v>11</v>
      </c>
      <c r="E465" t="s">
        <v>12</v>
      </c>
      <c r="F465">
        <v>-8.8000000000000007</v>
      </c>
      <c r="G465">
        <v>0.81169999999999998</v>
      </c>
      <c r="H465">
        <v>6.343</v>
      </c>
      <c r="I465">
        <v>5.1486130999999986</v>
      </c>
      <c r="K465" t="str">
        <f>INDEX([1]Sheet1!$A$1:$G$108, MATCH(B465,[1]Sheet1!$B:$B,0), 1)</f>
        <v>"2,2',4,4'-Tetrahydroxybenzil"</v>
      </c>
      <c r="L465" t="str">
        <f>INDEX([1]Sheet1!$A$1:$G$108, MATCH(B465,[1]Sheet1!$B:$B,0), 3)</f>
        <v>moderate</v>
      </c>
      <c r="M465" t="s">
        <v>109</v>
      </c>
    </row>
    <row r="466" spans="1:13" x14ac:dyDescent="0.3">
      <c r="A466" t="s">
        <v>66</v>
      </c>
      <c r="B466" t="str">
        <f>_xlfn.TEXTBEFORE(_xlfn.TEXTAFTER(A466,"cas-"),"_")</f>
        <v>5394-98-9</v>
      </c>
      <c r="C466" t="s">
        <v>21</v>
      </c>
      <c r="D466" t="s">
        <v>11</v>
      </c>
      <c r="E466" t="s">
        <v>12</v>
      </c>
      <c r="F466">
        <v>-8.6</v>
      </c>
      <c r="G466">
        <v>0.8538</v>
      </c>
      <c r="H466">
        <v>5.8959999999999999</v>
      </c>
      <c r="I466">
        <v>5.0340047999999999</v>
      </c>
      <c r="K466" t="str">
        <f>INDEX([1]Sheet1!$A$1:$G$108, MATCH(B466,[1]Sheet1!$B:$B,0), 1)</f>
        <v>"2,2',4,4'-Tetrahydroxybenzil"</v>
      </c>
      <c r="L466" t="str">
        <f>INDEX([1]Sheet1!$A$1:$G$108, MATCH(B466,[1]Sheet1!$B:$B,0), 3)</f>
        <v>moderate</v>
      </c>
      <c r="M466" t="s">
        <v>109</v>
      </c>
    </row>
    <row r="467" spans="1:13" x14ac:dyDescent="0.3">
      <c r="A467" t="s">
        <v>66</v>
      </c>
      <c r="B467" t="str">
        <f>_xlfn.TEXTBEFORE(_xlfn.TEXTAFTER(A467,"cas-"),"_")</f>
        <v>5394-98-9</v>
      </c>
      <c r="C467" t="s">
        <v>15</v>
      </c>
      <c r="D467" t="s">
        <v>16</v>
      </c>
      <c r="E467" t="s">
        <v>12</v>
      </c>
      <c r="F467">
        <v>-8.9700000000000006</v>
      </c>
      <c r="G467">
        <v>0.8579</v>
      </c>
      <c r="H467">
        <v>6.2949999999999999</v>
      </c>
      <c r="I467">
        <v>5.4004804999999996</v>
      </c>
      <c r="K467" t="str">
        <f>INDEX([1]Sheet1!$A$1:$G$108, MATCH(B467,[1]Sheet1!$B:$B,0), 1)</f>
        <v>"2,2',4,4'-Tetrahydroxybenzil"</v>
      </c>
      <c r="L467" t="str">
        <f>INDEX([1]Sheet1!$A$1:$G$108, MATCH(B467,[1]Sheet1!$B:$B,0), 3)</f>
        <v>moderate</v>
      </c>
      <c r="M467" t="s">
        <v>109</v>
      </c>
    </row>
    <row r="468" spans="1:13" x14ac:dyDescent="0.3">
      <c r="A468" t="s">
        <v>66</v>
      </c>
      <c r="B468" t="str">
        <f>_xlfn.TEXTBEFORE(_xlfn.TEXTAFTER(A468,"cas-"),"_")</f>
        <v>5394-98-9</v>
      </c>
      <c r="C468" t="s">
        <v>19</v>
      </c>
      <c r="D468" t="s">
        <v>20</v>
      </c>
      <c r="E468" t="s">
        <v>12</v>
      </c>
      <c r="F468">
        <v>-8.9499999999999993</v>
      </c>
      <c r="G468">
        <v>0.8448</v>
      </c>
      <c r="H468">
        <v>6.4390000000000001</v>
      </c>
      <c r="I468">
        <v>5.4396671999999997</v>
      </c>
      <c r="K468" t="str">
        <f>INDEX([1]Sheet1!$A$1:$G$108, MATCH(B468,[1]Sheet1!$B:$B,0), 1)</f>
        <v>"2,2',4,4'-Tetrahydroxybenzil"</v>
      </c>
      <c r="L468" t="str">
        <f>INDEX([1]Sheet1!$A$1:$G$108, MATCH(B468,[1]Sheet1!$B:$B,0), 3)</f>
        <v>moderate</v>
      </c>
      <c r="M468" t="s">
        <v>109</v>
      </c>
    </row>
    <row r="469" spans="1:13" x14ac:dyDescent="0.3">
      <c r="A469" t="s">
        <v>66</v>
      </c>
      <c r="B469" t="str">
        <f>_xlfn.TEXTBEFORE(_xlfn.TEXTAFTER(A469,"cas-"),"_")</f>
        <v>5394-98-9</v>
      </c>
      <c r="C469" t="s">
        <v>13</v>
      </c>
      <c r="D469" t="s">
        <v>14</v>
      </c>
      <c r="E469" t="s">
        <v>12</v>
      </c>
      <c r="F469">
        <v>-9.4</v>
      </c>
      <c r="G469">
        <v>0.90939999999999999</v>
      </c>
      <c r="H469">
        <v>6.5570000000000004</v>
      </c>
      <c r="I469">
        <v>5.9629358000000003</v>
      </c>
      <c r="K469" t="str">
        <f>INDEX([1]Sheet1!$A$1:$G$108, MATCH(B469,[1]Sheet1!$B:$B,0), 1)</f>
        <v>"2,2',4,4'-Tetrahydroxybenzil"</v>
      </c>
      <c r="L469" t="str">
        <f>INDEX([1]Sheet1!$A$1:$G$108, MATCH(B469,[1]Sheet1!$B:$B,0), 3)</f>
        <v>moderate</v>
      </c>
      <c r="M469" t="s">
        <v>109</v>
      </c>
    </row>
    <row r="470" spans="1:13" x14ac:dyDescent="0.3">
      <c r="A470" t="s">
        <v>67</v>
      </c>
      <c r="B470" t="str">
        <f>_xlfn.TEXTBEFORE(_xlfn.TEXTAFTER(A470,"cas-"),"_")</f>
        <v>57-83-0</v>
      </c>
      <c r="C470" t="s">
        <v>15</v>
      </c>
      <c r="D470" t="s">
        <v>16</v>
      </c>
      <c r="E470" t="s">
        <v>12</v>
      </c>
      <c r="F470">
        <v>-9.25</v>
      </c>
      <c r="G470">
        <v>0.85050000000000003</v>
      </c>
      <c r="H470">
        <v>8.0920000000000005</v>
      </c>
      <c r="I470">
        <v>6.8822460000000003</v>
      </c>
      <c r="K470" t="str">
        <f>INDEX([1]Sheet1!$A$1:$G$108, MATCH(B470,[1]Sheet1!$B:$B,0), 1)</f>
        <v>Progesterone</v>
      </c>
      <c r="L470" t="str">
        <f>INDEX([1]Sheet1!$A$1:$G$108, MATCH(B470,[1]Sheet1!$B:$B,0), 3)</f>
        <v>weak</v>
      </c>
      <c r="M470" t="s">
        <v>109</v>
      </c>
    </row>
    <row r="471" spans="1:13" x14ac:dyDescent="0.3">
      <c r="A471" t="s">
        <v>67</v>
      </c>
      <c r="B471" t="str">
        <f>_xlfn.TEXTBEFORE(_xlfn.TEXTAFTER(A471,"cas-"),"_")</f>
        <v>57-83-0</v>
      </c>
      <c r="C471" t="s">
        <v>18</v>
      </c>
      <c r="D471" t="s">
        <v>11</v>
      </c>
      <c r="E471" t="s">
        <v>12</v>
      </c>
      <c r="F471">
        <v>-8.08</v>
      </c>
      <c r="G471">
        <v>0.77349999999999997</v>
      </c>
      <c r="H471">
        <v>7.8049999999999997</v>
      </c>
      <c r="I471">
        <v>6.0371674999999998</v>
      </c>
      <c r="K471" t="str">
        <f>INDEX([1]Sheet1!$A$1:$G$108, MATCH(B471,[1]Sheet1!$B:$B,0), 1)</f>
        <v>Progesterone</v>
      </c>
      <c r="L471" t="str">
        <f>INDEX([1]Sheet1!$A$1:$G$108, MATCH(B471,[1]Sheet1!$B:$B,0), 3)</f>
        <v>weak</v>
      </c>
      <c r="M471" t="s">
        <v>109</v>
      </c>
    </row>
    <row r="472" spans="1:13" x14ac:dyDescent="0.3">
      <c r="A472" t="s">
        <v>67</v>
      </c>
      <c r="B472" t="str">
        <f>_xlfn.TEXTBEFORE(_xlfn.TEXTAFTER(A472,"cas-"),"_")</f>
        <v>57-83-0</v>
      </c>
      <c r="C472" t="s">
        <v>22</v>
      </c>
      <c r="D472" t="s">
        <v>23</v>
      </c>
      <c r="E472" t="s">
        <v>12</v>
      </c>
      <c r="F472">
        <v>-6.12</v>
      </c>
      <c r="G472">
        <v>0.73229999999999995</v>
      </c>
      <c r="H472">
        <v>7.81</v>
      </c>
      <c r="I472">
        <v>5.7192629999999998</v>
      </c>
      <c r="K472" t="str">
        <f>INDEX([1]Sheet1!$A$1:$G$108, MATCH(B472,[1]Sheet1!$B:$B,0), 1)</f>
        <v>Progesterone</v>
      </c>
      <c r="L472" t="str">
        <f>INDEX([1]Sheet1!$A$1:$G$108, MATCH(B472,[1]Sheet1!$B:$B,0), 3)</f>
        <v>weak</v>
      </c>
      <c r="M472" t="s">
        <v>109</v>
      </c>
    </row>
    <row r="473" spans="1:13" x14ac:dyDescent="0.3">
      <c r="A473" t="s">
        <v>67</v>
      </c>
      <c r="B473" t="str">
        <f>_xlfn.TEXTBEFORE(_xlfn.TEXTAFTER(A473,"cas-"),"_")</f>
        <v>57-83-0</v>
      </c>
      <c r="C473" t="s">
        <v>30</v>
      </c>
      <c r="D473" t="s">
        <v>31</v>
      </c>
      <c r="E473" t="s">
        <v>12</v>
      </c>
      <c r="F473">
        <v>-5.82</v>
      </c>
      <c r="G473">
        <v>0.70699999999999996</v>
      </c>
      <c r="H473">
        <v>7.8310000000000004</v>
      </c>
      <c r="I473">
        <v>5.5365169999999999</v>
      </c>
      <c r="K473" t="str">
        <f>INDEX([1]Sheet1!$A$1:$G$108, MATCH(B473,[1]Sheet1!$B:$B,0), 1)</f>
        <v>Progesterone</v>
      </c>
      <c r="L473" t="str">
        <f>INDEX([1]Sheet1!$A$1:$G$108, MATCH(B473,[1]Sheet1!$B:$B,0), 3)</f>
        <v>weak</v>
      </c>
      <c r="M473" t="s">
        <v>109</v>
      </c>
    </row>
    <row r="474" spans="1:13" x14ac:dyDescent="0.3">
      <c r="A474" t="s">
        <v>67</v>
      </c>
      <c r="B474" t="str">
        <f>_xlfn.TEXTBEFORE(_xlfn.TEXTAFTER(A474,"cas-"),"_")</f>
        <v>57-83-0</v>
      </c>
      <c r="C474" t="s">
        <v>27</v>
      </c>
      <c r="D474" t="s">
        <v>11</v>
      </c>
      <c r="E474" t="s">
        <v>12</v>
      </c>
      <c r="F474">
        <v>-7</v>
      </c>
      <c r="G474">
        <v>0.76659999999999995</v>
      </c>
      <c r="H474">
        <v>7.7990000000000004</v>
      </c>
      <c r="I474">
        <v>5.9787134000000002</v>
      </c>
      <c r="K474" t="str">
        <f>INDEX([1]Sheet1!$A$1:$G$108, MATCH(B474,[1]Sheet1!$B:$B,0), 1)</f>
        <v>Progesterone</v>
      </c>
      <c r="L474" t="str">
        <f>INDEX([1]Sheet1!$A$1:$G$108, MATCH(B474,[1]Sheet1!$B:$B,0), 3)</f>
        <v>weak</v>
      </c>
      <c r="M474" t="s">
        <v>109</v>
      </c>
    </row>
    <row r="475" spans="1:13" x14ac:dyDescent="0.3">
      <c r="A475" t="s">
        <v>67</v>
      </c>
      <c r="B475" t="str">
        <f>_xlfn.TEXTBEFORE(_xlfn.TEXTAFTER(A475,"cas-"),"_")</f>
        <v>57-83-0</v>
      </c>
      <c r="C475" t="s">
        <v>10</v>
      </c>
      <c r="D475" t="s">
        <v>11</v>
      </c>
      <c r="E475" t="s">
        <v>12</v>
      </c>
      <c r="F475">
        <v>-8.1999999999999993</v>
      </c>
      <c r="G475">
        <v>0.77129999999999999</v>
      </c>
      <c r="H475">
        <v>7.8949999999999996</v>
      </c>
      <c r="I475">
        <v>6.0894134999999991</v>
      </c>
      <c r="K475" t="str">
        <f>INDEX([1]Sheet1!$A$1:$G$108, MATCH(B475,[1]Sheet1!$B:$B,0), 1)</f>
        <v>Progesterone</v>
      </c>
      <c r="L475" t="str">
        <f>INDEX([1]Sheet1!$A$1:$G$108, MATCH(B475,[1]Sheet1!$B:$B,0), 3)</f>
        <v>weak</v>
      </c>
      <c r="M475" t="s">
        <v>109</v>
      </c>
    </row>
    <row r="476" spans="1:13" x14ac:dyDescent="0.3">
      <c r="A476" t="s">
        <v>67</v>
      </c>
      <c r="B476" t="str">
        <f>_xlfn.TEXTBEFORE(_xlfn.TEXTAFTER(A476,"cas-"),"_")</f>
        <v>57-83-0</v>
      </c>
      <c r="C476" t="s">
        <v>28</v>
      </c>
      <c r="D476" t="s">
        <v>29</v>
      </c>
      <c r="E476" t="s">
        <v>12</v>
      </c>
      <c r="F476">
        <v>-7.04</v>
      </c>
      <c r="G476">
        <v>0.71040000000000003</v>
      </c>
      <c r="H476">
        <v>7.7329999999999997</v>
      </c>
      <c r="I476">
        <v>5.4935232000000003</v>
      </c>
      <c r="K476" t="str">
        <f>INDEX([1]Sheet1!$A$1:$G$108, MATCH(B476,[1]Sheet1!$B:$B,0), 1)</f>
        <v>Progesterone</v>
      </c>
      <c r="L476" t="str">
        <f>INDEX([1]Sheet1!$A$1:$G$108, MATCH(B476,[1]Sheet1!$B:$B,0), 3)</f>
        <v>weak</v>
      </c>
      <c r="M476" t="s">
        <v>109</v>
      </c>
    </row>
    <row r="477" spans="1:13" x14ac:dyDescent="0.3">
      <c r="A477" t="s">
        <v>67</v>
      </c>
      <c r="B477" t="str">
        <f>_xlfn.TEXTBEFORE(_xlfn.TEXTAFTER(A477,"cas-"),"_")</f>
        <v>57-83-0</v>
      </c>
      <c r="C477" t="s">
        <v>19</v>
      </c>
      <c r="D477" t="s">
        <v>20</v>
      </c>
      <c r="E477" t="s">
        <v>12</v>
      </c>
      <c r="F477">
        <v>-8.6300000000000008</v>
      </c>
      <c r="G477">
        <v>0.87960000000000005</v>
      </c>
      <c r="H477">
        <v>8.1069999999999993</v>
      </c>
      <c r="I477">
        <v>7.1309171999999998</v>
      </c>
      <c r="K477" t="str">
        <f>INDEX([1]Sheet1!$A$1:$G$108, MATCH(B477,[1]Sheet1!$B:$B,0), 1)</f>
        <v>Progesterone</v>
      </c>
      <c r="L477" t="str">
        <f>INDEX([1]Sheet1!$A$1:$G$108, MATCH(B477,[1]Sheet1!$B:$B,0), 3)</f>
        <v>weak</v>
      </c>
      <c r="M477" t="s">
        <v>109</v>
      </c>
    </row>
    <row r="478" spans="1:13" x14ac:dyDescent="0.3">
      <c r="A478" t="s">
        <v>67</v>
      </c>
      <c r="B478" t="str">
        <f>_xlfn.TEXTBEFORE(_xlfn.TEXTAFTER(A478,"cas-"),"_")</f>
        <v>57-83-0</v>
      </c>
      <c r="C478" t="s">
        <v>17</v>
      </c>
      <c r="D478" t="s">
        <v>11</v>
      </c>
      <c r="E478" t="s">
        <v>12</v>
      </c>
      <c r="F478">
        <v>-7.9</v>
      </c>
      <c r="G478">
        <v>0.78390000000000004</v>
      </c>
      <c r="H478">
        <v>7.7990000000000004</v>
      </c>
      <c r="I478">
        <v>6.1136361000000008</v>
      </c>
      <c r="K478" t="str">
        <f>INDEX([1]Sheet1!$A$1:$G$108, MATCH(B478,[1]Sheet1!$B:$B,0), 1)</f>
        <v>Progesterone</v>
      </c>
      <c r="L478" t="str">
        <f>INDEX([1]Sheet1!$A$1:$G$108, MATCH(B478,[1]Sheet1!$B:$B,0), 3)</f>
        <v>weak</v>
      </c>
      <c r="M478" t="s">
        <v>109</v>
      </c>
    </row>
    <row r="479" spans="1:13" x14ac:dyDescent="0.3">
      <c r="A479" t="s">
        <v>67</v>
      </c>
      <c r="B479" t="str">
        <f>_xlfn.TEXTBEFORE(_xlfn.TEXTAFTER(A479,"cas-"),"_")</f>
        <v>57-83-0</v>
      </c>
      <c r="C479" t="s">
        <v>21</v>
      </c>
      <c r="D479" t="s">
        <v>11</v>
      </c>
      <c r="E479" t="s">
        <v>12</v>
      </c>
      <c r="F479">
        <v>-8.69</v>
      </c>
      <c r="G479">
        <v>0.75249999999999995</v>
      </c>
      <c r="H479">
        <v>7.6689999999999996</v>
      </c>
      <c r="I479">
        <v>5.7709224999999993</v>
      </c>
      <c r="K479" t="str">
        <f>INDEX([1]Sheet1!$A$1:$G$108, MATCH(B479,[1]Sheet1!$B:$B,0), 1)</f>
        <v>Progesterone</v>
      </c>
      <c r="L479" t="str">
        <f>INDEX([1]Sheet1!$A$1:$G$108, MATCH(B479,[1]Sheet1!$B:$B,0), 3)</f>
        <v>weak</v>
      </c>
      <c r="M479" t="s">
        <v>109</v>
      </c>
    </row>
    <row r="480" spans="1:13" x14ac:dyDescent="0.3">
      <c r="A480" t="s">
        <v>67</v>
      </c>
      <c r="B480" t="str">
        <f>_xlfn.TEXTBEFORE(_xlfn.TEXTAFTER(A480,"cas-"),"_")</f>
        <v>57-83-0</v>
      </c>
      <c r="C480" t="s">
        <v>13</v>
      </c>
      <c r="D480" t="s">
        <v>14</v>
      </c>
      <c r="E480" t="s">
        <v>12</v>
      </c>
      <c r="F480">
        <v>-8.8800000000000008</v>
      </c>
      <c r="G480">
        <v>0.85850000000000004</v>
      </c>
      <c r="H480">
        <v>8.141</v>
      </c>
      <c r="I480">
        <v>6.9890485</v>
      </c>
      <c r="K480" t="str">
        <f>INDEX([1]Sheet1!$A$1:$G$108, MATCH(B480,[1]Sheet1!$B:$B,0), 1)</f>
        <v>Progesterone</v>
      </c>
      <c r="L480" t="str">
        <f>INDEX([1]Sheet1!$A$1:$G$108, MATCH(B480,[1]Sheet1!$B:$B,0), 3)</f>
        <v>weak</v>
      </c>
      <c r="M480" t="s">
        <v>109</v>
      </c>
    </row>
    <row r="481" spans="1:13" x14ac:dyDescent="0.3">
      <c r="A481" t="s">
        <v>67</v>
      </c>
      <c r="B481" t="str">
        <f>_xlfn.TEXTBEFORE(_xlfn.TEXTAFTER(A481,"cas-"),"_")</f>
        <v>57-83-0</v>
      </c>
      <c r="C481" t="s">
        <v>26</v>
      </c>
      <c r="D481" t="s">
        <v>14</v>
      </c>
      <c r="E481" t="s">
        <v>12</v>
      </c>
      <c r="F481">
        <v>-9.3000000000000007</v>
      </c>
      <c r="G481">
        <v>0.91449999999999998</v>
      </c>
      <c r="H481">
        <v>8.0229999999999997</v>
      </c>
      <c r="I481">
        <v>7.3370335000000004</v>
      </c>
      <c r="K481" t="str">
        <f>INDEX([1]Sheet1!$A$1:$G$108, MATCH(B481,[1]Sheet1!$B:$B,0), 1)</f>
        <v>Progesterone</v>
      </c>
      <c r="L481" t="str">
        <f>INDEX([1]Sheet1!$A$1:$G$108, MATCH(B481,[1]Sheet1!$B:$B,0), 3)</f>
        <v>weak</v>
      </c>
      <c r="M481" t="s">
        <v>109</v>
      </c>
    </row>
    <row r="482" spans="1:13" x14ac:dyDescent="0.3">
      <c r="A482" t="s">
        <v>67</v>
      </c>
      <c r="B482" t="str">
        <f>_xlfn.TEXTBEFORE(_xlfn.TEXTAFTER(A482,"cas-"),"_")</f>
        <v>57-83-0</v>
      </c>
      <c r="C482" t="s">
        <v>24</v>
      </c>
      <c r="D482" t="s">
        <v>25</v>
      </c>
      <c r="E482" t="s">
        <v>12</v>
      </c>
      <c r="F482">
        <v>-8.9</v>
      </c>
      <c r="G482">
        <v>0.8427</v>
      </c>
      <c r="H482">
        <v>7.8280000000000003</v>
      </c>
      <c r="I482">
        <v>6.5966556000000001</v>
      </c>
      <c r="K482" t="str">
        <f>INDEX([1]Sheet1!$A$1:$G$108, MATCH(B482,[1]Sheet1!$B:$B,0), 1)</f>
        <v>Progesterone</v>
      </c>
      <c r="L482" t="str">
        <f>INDEX([1]Sheet1!$A$1:$G$108, MATCH(B482,[1]Sheet1!$B:$B,0), 3)</f>
        <v>weak</v>
      </c>
      <c r="M482" t="s">
        <v>109</v>
      </c>
    </row>
    <row r="483" spans="1:13" x14ac:dyDescent="0.3">
      <c r="A483" t="s">
        <v>68</v>
      </c>
      <c r="B483" t="str">
        <f>_xlfn.TEXTBEFORE(_xlfn.TEXTAFTER(A483,"cas-"),"_")</f>
        <v>57-88-5</v>
      </c>
      <c r="C483" t="s">
        <v>19</v>
      </c>
      <c r="D483" t="s">
        <v>20</v>
      </c>
      <c r="E483" t="s">
        <v>12</v>
      </c>
      <c r="F483">
        <v>19.809999999999999</v>
      </c>
      <c r="G483">
        <v>0.53300000000000003</v>
      </c>
      <c r="H483">
        <v>8.0630000000000006</v>
      </c>
      <c r="I483">
        <v>4.2975790000000007</v>
      </c>
      <c r="K483" t="str">
        <f>INDEX([1]Sheet1!$A$1:$G$108, MATCH(B483,[1]Sheet1!$B:$B,0), 1)</f>
        <v>Cholesterol</v>
      </c>
      <c r="L483" t="str">
        <f>INDEX([1]Sheet1!$A$1:$G$108, MATCH(B483,[1]Sheet1!$B:$B,0), 3)</f>
        <v>weak</v>
      </c>
      <c r="M483" t="s">
        <v>109</v>
      </c>
    </row>
    <row r="484" spans="1:13" x14ac:dyDescent="0.3">
      <c r="A484" t="s">
        <v>68</v>
      </c>
      <c r="B484" t="str">
        <f>_xlfn.TEXTBEFORE(_xlfn.TEXTAFTER(A484,"cas-"),"_")</f>
        <v>57-88-5</v>
      </c>
      <c r="C484" t="s">
        <v>15</v>
      </c>
      <c r="D484" t="s">
        <v>16</v>
      </c>
      <c r="E484" t="s">
        <v>12</v>
      </c>
      <c r="F484">
        <v>1.27</v>
      </c>
      <c r="G484">
        <v>0.65680000000000005</v>
      </c>
      <c r="H484">
        <v>8.0960000000000001</v>
      </c>
      <c r="I484">
        <v>5.3174528000000008</v>
      </c>
      <c r="K484" t="str">
        <f>INDEX([1]Sheet1!$A$1:$G$108, MATCH(B484,[1]Sheet1!$B:$B,0), 1)</f>
        <v>Cholesterol</v>
      </c>
      <c r="L484" t="str">
        <f>INDEX([1]Sheet1!$A$1:$G$108, MATCH(B484,[1]Sheet1!$B:$B,0), 3)</f>
        <v>weak</v>
      </c>
      <c r="M484" t="s">
        <v>109</v>
      </c>
    </row>
    <row r="485" spans="1:13" x14ac:dyDescent="0.3">
      <c r="A485" t="s">
        <v>68</v>
      </c>
      <c r="B485" t="str">
        <f>_xlfn.TEXTBEFORE(_xlfn.TEXTAFTER(A485,"cas-"),"_")</f>
        <v>57-88-5</v>
      </c>
      <c r="C485" t="s">
        <v>26</v>
      </c>
      <c r="D485" t="s">
        <v>14</v>
      </c>
      <c r="E485" t="s">
        <v>12</v>
      </c>
      <c r="F485">
        <v>-0.9</v>
      </c>
      <c r="G485">
        <v>0.63629999999999998</v>
      </c>
      <c r="H485">
        <v>8.3770000000000007</v>
      </c>
      <c r="I485">
        <v>5.3302851000000002</v>
      </c>
      <c r="K485" t="str">
        <f>INDEX([1]Sheet1!$A$1:$G$108, MATCH(B485,[1]Sheet1!$B:$B,0), 1)</f>
        <v>Cholesterol</v>
      </c>
      <c r="L485" t="str">
        <f>INDEX([1]Sheet1!$A$1:$G$108, MATCH(B485,[1]Sheet1!$B:$B,0), 3)</f>
        <v>weak</v>
      </c>
      <c r="M485" t="s">
        <v>109</v>
      </c>
    </row>
    <row r="486" spans="1:13" x14ac:dyDescent="0.3">
      <c r="A486" t="s">
        <v>68</v>
      </c>
      <c r="B486" t="str">
        <f>_xlfn.TEXTBEFORE(_xlfn.TEXTAFTER(A486,"cas-"),"_")</f>
        <v>57-88-5</v>
      </c>
      <c r="C486" t="s">
        <v>18</v>
      </c>
      <c r="D486" t="s">
        <v>11</v>
      </c>
      <c r="E486" t="s">
        <v>12</v>
      </c>
      <c r="F486">
        <v>8.08</v>
      </c>
      <c r="G486">
        <v>0.40339999999999998</v>
      </c>
      <c r="H486">
        <v>7.7359999999999998</v>
      </c>
      <c r="I486">
        <v>3.1207023999999999</v>
      </c>
      <c r="K486" t="str">
        <f>INDEX([1]Sheet1!$A$1:$G$108, MATCH(B486,[1]Sheet1!$B:$B,0), 1)</f>
        <v>Cholesterol</v>
      </c>
      <c r="L486" t="str">
        <f>INDEX([1]Sheet1!$A$1:$G$108, MATCH(B486,[1]Sheet1!$B:$B,0), 3)</f>
        <v>weak</v>
      </c>
      <c r="M486" t="s">
        <v>109</v>
      </c>
    </row>
    <row r="487" spans="1:13" x14ac:dyDescent="0.3">
      <c r="A487" t="s">
        <v>68</v>
      </c>
      <c r="B487" t="str">
        <f>_xlfn.TEXTBEFORE(_xlfn.TEXTAFTER(A487,"cas-"),"_")</f>
        <v>57-88-5</v>
      </c>
      <c r="C487" t="s">
        <v>30</v>
      </c>
      <c r="D487" t="s">
        <v>31</v>
      </c>
      <c r="E487" t="s">
        <v>12</v>
      </c>
      <c r="F487">
        <v>-2.0699999999999998</v>
      </c>
      <c r="G487">
        <v>0.42409999999999998</v>
      </c>
      <c r="H487">
        <v>8.1129999999999995</v>
      </c>
      <c r="I487">
        <v>3.4407233000000002</v>
      </c>
      <c r="K487" t="str">
        <f>INDEX([1]Sheet1!$A$1:$G$108, MATCH(B487,[1]Sheet1!$B:$B,0), 1)</f>
        <v>Cholesterol</v>
      </c>
      <c r="L487" t="str">
        <f>INDEX([1]Sheet1!$A$1:$G$108, MATCH(B487,[1]Sheet1!$B:$B,0), 3)</f>
        <v>weak</v>
      </c>
      <c r="M487" t="s">
        <v>109</v>
      </c>
    </row>
    <row r="488" spans="1:13" x14ac:dyDescent="0.3">
      <c r="A488" t="s">
        <v>68</v>
      </c>
      <c r="B488" t="str">
        <f>_xlfn.TEXTBEFORE(_xlfn.TEXTAFTER(A488,"cas-"),"_")</f>
        <v>57-88-5</v>
      </c>
      <c r="C488" t="s">
        <v>22</v>
      </c>
      <c r="D488" t="s">
        <v>23</v>
      </c>
      <c r="E488" t="s">
        <v>12</v>
      </c>
      <c r="F488">
        <v>-3.38</v>
      </c>
      <c r="G488">
        <v>0.37519999999999998</v>
      </c>
      <c r="H488">
        <v>7.9530000000000003</v>
      </c>
      <c r="I488">
        <v>2.9839655999999999</v>
      </c>
      <c r="K488" t="str">
        <f>INDEX([1]Sheet1!$A$1:$G$108, MATCH(B488,[1]Sheet1!$B:$B,0), 1)</f>
        <v>Cholesterol</v>
      </c>
      <c r="L488" t="str">
        <f>INDEX([1]Sheet1!$A$1:$G$108, MATCH(B488,[1]Sheet1!$B:$B,0), 3)</f>
        <v>weak</v>
      </c>
      <c r="M488" t="s">
        <v>109</v>
      </c>
    </row>
    <row r="489" spans="1:13" x14ac:dyDescent="0.3">
      <c r="A489" t="s">
        <v>68</v>
      </c>
      <c r="B489" t="str">
        <f>_xlfn.TEXTBEFORE(_xlfn.TEXTAFTER(A489,"cas-"),"_")</f>
        <v>57-88-5</v>
      </c>
      <c r="C489" t="s">
        <v>10</v>
      </c>
      <c r="D489" t="s">
        <v>11</v>
      </c>
      <c r="E489" t="s">
        <v>12</v>
      </c>
      <c r="F489">
        <v>6.62</v>
      </c>
      <c r="G489">
        <v>0.6139</v>
      </c>
      <c r="H489">
        <v>8.0429999999999993</v>
      </c>
      <c r="I489">
        <v>4.9375977000000004</v>
      </c>
      <c r="K489" t="str">
        <f>INDEX([1]Sheet1!$A$1:$G$108, MATCH(B489,[1]Sheet1!$B:$B,0), 1)</f>
        <v>Cholesterol</v>
      </c>
      <c r="L489" t="str">
        <f>INDEX([1]Sheet1!$A$1:$G$108, MATCH(B489,[1]Sheet1!$B:$B,0), 3)</f>
        <v>weak</v>
      </c>
      <c r="M489" t="s">
        <v>109</v>
      </c>
    </row>
    <row r="490" spans="1:13" x14ac:dyDescent="0.3">
      <c r="A490" t="s">
        <v>68</v>
      </c>
      <c r="B490" t="str">
        <f>_xlfn.TEXTBEFORE(_xlfn.TEXTAFTER(A490,"cas-"),"_")</f>
        <v>57-88-5</v>
      </c>
      <c r="C490" t="s">
        <v>27</v>
      </c>
      <c r="D490" t="s">
        <v>11</v>
      </c>
      <c r="E490" t="s">
        <v>12</v>
      </c>
      <c r="F490">
        <v>16.75</v>
      </c>
      <c r="G490">
        <v>0.38790000000000002</v>
      </c>
      <c r="H490">
        <v>7.8970000000000002</v>
      </c>
      <c r="I490">
        <v>3.0632462999999999</v>
      </c>
      <c r="K490" t="str">
        <f>INDEX([1]Sheet1!$A$1:$G$108, MATCH(B490,[1]Sheet1!$B:$B,0), 1)</f>
        <v>Cholesterol</v>
      </c>
      <c r="L490" t="str">
        <f>INDEX([1]Sheet1!$A$1:$G$108, MATCH(B490,[1]Sheet1!$B:$B,0), 3)</f>
        <v>weak</v>
      </c>
      <c r="M490" t="s">
        <v>109</v>
      </c>
    </row>
    <row r="491" spans="1:13" x14ac:dyDescent="0.3">
      <c r="A491" t="s">
        <v>68</v>
      </c>
      <c r="B491" t="str">
        <f>_xlfn.TEXTBEFORE(_xlfn.TEXTAFTER(A491,"cas-"),"_")</f>
        <v>57-88-5</v>
      </c>
      <c r="C491" t="s">
        <v>21</v>
      </c>
      <c r="D491" t="s">
        <v>11</v>
      </c>
      <c r="E491" t="s">
        <v>12</v>
      </c>
      <c r="F491">
        <v>5.19</v>
      </c>
      <c r="G491">
        <v>0.50360000000000005</v>
      </c>
      <c r="H491">
        <v>8.1460000000000008</v>
      </c>
      <c r="I491">
        <v>4.1023256000000003</v>
      </c>
      <c r="K491" t="str">
        <f>INDEX([1]Sheet1!$A$1:$G$108, MATCH(B491,[1]Sheet1!$B:$B,0), 1)</f>
        <v>Cholesterol</v>
      </c>
      <c r="L491" t="str">
        <f>INDEX([1]Sheet1!$A$1:$G$108, MATCH(B491,[1]Sheet1!$B:$B,0), 3)</f>
        <v>weak</v>
      </c>
      <c r="M491" t="s">
        <v>109</v>
      </c>
    </row>
    <row r="492" spans="1:13" x14ac:dyDescent="0.3">
      <c r="A492" t="s">
        <v>68</v>
      </c>
      <c r="B492" t="str">
        <f>_xlfn.TEXTBEFORE(_xlfn.TEXTAFTER(A492,"cas-"),"_")</f>
        <v>57-88-5</v>
      </c>
      <c r="C492" t="s">
        <v>17</v>
      </c>
      <c r="D492" t="s">
        <v>11</v>
      </c>
      <c r="E492" t="s">
        <v>12</v>
      </c>
      <c r="F492">
        <v>-0.13</v>
      </c>
      <c r="G492">
        <v>0.4425</v>
      </c>
      <c r="H492">
        <v>7.798</v>
      </c>
      <c r="I492">
        <v>3.450615</v>
      </c>
      <c r="K492" t="str">
        <f>INDEX([1]Sheet1!$A$1:$G$108, MATCH(B492,[1]Sheet1!$B:$B,0), 1)</f>
        <v>Cholesterol</v>
      </c>
      <c r="L492" t="str">
        <f>INDEX([1]Sheet1!$A$1:$G$108, MATCH(B492,[1]Sheet1!$B:$B,0), 3)</f>
        <v>weak</v>
      </c>
      <c r="M492" t="s">
        <v>109</v>
      </c>
    </row>
    <row r="493" spans="1:13" x14ac:dyDescent="0.3">
      <c r="A493" t="s">
        <v>68</v>
      </c>
      <c r="B493" t="str">
        <f>_xlfn.TEXTBEFORE(_xlfn.TEXTAFTER(A493,"cas-"),"_")</f>
        <v>57-88-5</v>
      </c>
      <c r="C493" t="s">
        <v>24</v>
      </c>
      <c r="D493" t="s">
        <v>25</v>
      </c>
      <c r="E493" t="s">
        <v>12</v>
      </c>
      <c r="F493">
        <v>2.59</v>
      </c>
      <c r="G493">
        <v>0.54190000000000005</v>
      </c>
      <c r="H493">
        <v>7.9939999999999998</v>
      </c>
      <c r="I493">
        <v>4.3319485999999996</v>
      </c>
      <c r="K493" t="str">
        <f>INDEX([1]Sheet1!$A$1:$G$108, MATCH(B493,[1]Sheet1!$B:$B,0), 1)</f>
        <v>Cholesterol</v>
      </c>
      <c r="L493" t="str">
        <f>INDEX([1]Sheet1!$A$1:$G$108, MATCH(B493,[1]Sheet1!$B:$B,0), 3)</f>
        <v>weak</v>
      </c>
      <c r="M493" t="s">
        <v>109</v>
      </c>
    </row>
    <row r="494" spans="1:13" x14ac:dyDescent="0.3">
      <c r="A494" t="s">
        <v>68</v>
      </c>
      <c r="B494" t="str">
        <f>_xlfn.TEXTBEFORE(_xlfn.TEXTAFTER(A494,"cas-"),"_")</f>
        <v>57-88-5</v>
      </c>
      <c r="C494" t="s">
        <v>28</v>
      </c>
      <c r="D494" t="s">
        <v>29</v>
      </c>
      <c r="E494" t="s">
        <v>12</v>
      </c>
      <c r="F494">
        <v>24.72</v>
      </c>
      <c r="G494">
        <v>0.58730000000000004</v>
      </c>
      <c r="H494">
        <v>8.0570000000000004</v>
      </c>
      <c r="I494">
        <v>4.7318761000000009</v>
      </c>
      <c r="K494" t="str">
        <f>INDEX([1]Sheet1!$A$1:$G$108, MATCH(B494,[1]Sheet1!$B:$B,0), 1)</f>
        <v>Cholesterol</v>
      </c>
      <c r="L494" t="str">
        <f>INDEX([1]Sheet1!$A$1:$G$108, MATCH(B494,[1]Sheet1!$B:$B,0), 3)</f>
        <v>weak</v>
      </c>
      <c r="M494" t="s">
        <v>109</v>
      </c>
    </row>
    <row r="495" spans="1:13" x14ac:dyDescent="0.3">
      <c r="A495" t="s">
        <v>68</v>
      </c>
      <c r="B495" t="str">
        <f>_xlfn.TEXTBEFORE(_xlfn.TEXTAFTER(A495,"cas-"),"_")</f>
        <v>57-88-5</v>
      </c>
      <c r="C495" t="s">
        <v>13</v>
      </c>
      <c r="D495" t="s">
        <v>14</v>
      </c>
      <c r="E495" t="s">
        <v>12</v>
      </c>
      <c r="F495">
        <v>6.98</v>
      </c>
      <c r="G495">
        <v>0.26400000000000001</v>
      </c>
      <c r="H495">
        <v>7.5350000000000001</v>
      </c>
      <c r="I495">
        <v>1.9892399999999999</v>
      </c>
      <c r="K495" t="str">
        <f>INDEX([1]Sheet1!$A$1:$G$108, MATCH(B495,[1]Sheet1!$B:$B,0), 1)</f>
        <v>Cholesterol</v>
      </c>
      <c r="L495" t="str">
        <f>INDEX([1]Sheet1!$A$1:$G$108, MATCH(B495,[1]Sheet1!$B:$B,0), 3)</f>
        <v>weak</v>
      </c>
      <c r="M495" t="s">
        <v>109</v>
      </c>
    </row>
    <row r="496" spans="1:13" x14ac:dyDescent="0.3">
      <c r="A496" t="s">
        <v>69</v>
      </c>
      <c r="B496" t="str">
        <f>_xlfn.TEXTBEFORE(_xlfn.TEXTAFTER(A496,"cas-"),"_")</f>
        <v>571-20-0</v>
      </c>
      <c r="C496" t="s">
        <v>27</v>
      </c>
      <c r="D496" t="s">
        <v>11</v>
      </c>
      <c r="E496" t="s">
        <v>12</v>
      </c>
      <c r="F496">
        <v>-10.16</v>
      </c>
      <c r="G496">
        <v>0.89339999999999997</v>
      </c>
      <c r="H496">
        <v>8.3309999999999995</v>
      </c>
      <c r="I496">
        <v>7.4429154000000004</v>
      </c>
      <c r="K496" t="str">
        <f>INDEX([1]Sheet1!$A$1:$G$108, MATCH(B496,[1]Sheet1!$B:$B,0), 1)</f>
        <v>3-b-Androstanediol</v>
      </c>
      <c r="L496" t="str">
        <f>INDEX([1]Sheet1!$A$1:$G$108, MATCH(B496,[1]Sheet1!$B:$B,0), 3)</f>
        <v>moderate</v>
      </c>
      <c r="M496" t="s">
        <v>109</v>
      </c>
    </row>
    <row r="497" spans="1:13" x14ac:dyDescent="0.3">
      <c r="A497" t="s">
        <v>69</v>
      </c>
      <c r="B497" t="str">
        <f>_xlfn.TEXTBEFORE(_xlfn.TEXTAFTER(A497,"cas-"),"_")</f>
        <v>571-20-0</v>
      </c>
      <c r="C497" t="s">
        <v>19</v>
      </c>
      <c r="D497" t="s">
        <v>20</v>
      </c>
      <c r="E497" t="s">
        <v>12</v>
      </c>
      <c r="F497">
        <v>-10.72</v>
      </c>
      <c r="G497">
        <v>0.8629</v>
      </c>
      <c r="H497">
        <v>7.9820000000000002</v>
      </c>
      <c r="I497">
        <v>6.8876678</v>
      </c>
      <c r="K497" t="str">
        <f>INDEX([1]Sheet1!$A$1:$G$108, MATCH(B497,[1]Sheet1!$B:$B,0), 1)</f>
        <v>3-b-Androstanediol</v>
      </c>
      <c r="L497" t="str">
        <f>INDEX([1]Sheet1!$A$1:$G$108, MATCH(B497,[1]Sheet1!$B:$B,0), 3)</f>
        <v>moderate</v>
      </c>
      <c r="M497" t="s">
        <v>109</v>
      </c>
    </row>
    <row r="498" spans="1:13" x14ac:dyDescent="0.3">
      <c r="A498" t="s">
        <v>69</v>
      </c>
      <c r="B498" t="str">
        <f>_xlfn.TEXTBEFORE(_xlfn.TEXTAFTER(A498,"cas-"),"_")</f>
        <v>571-20-0</v>
      </c>
      <c r="C498" t="s">
        <v>13</v>
      </c>
      <c r="D498" t="s">
        <v>14</v>
      </c>
      <c r="E498" t="s">
        <v>12</v>
      </c>
      <c r="F498">
        <v>-10.61</v>
      </c>
      <c r="G498">
        <v>0.9022</v>
      </c>
      <c r="H498">
        <v>8.34</v>
      </c>
      <c r="I498">
        <v>7.5243479999999998</v>
      </c>
      <c r="K498" t="str">
        <f>INDEX([1]Sheet1!$A$1:$G$108, MATCH(B498,[1]Sheet1!$B:$B,0), 1)</f>
        <v>3-b-Androstanediol</v>
      </c>
      <c r="L498" t="str">
        <f>INDEX([1]Sheet1!$A$1:$G$108, MATCH(B498,[1]Sheet1!$B:$B,0), 3)</f>
        <v>moderate</v>
      </c>
      <c r="M498" t="s">
        <v>109</v>
      </c>
    </row>
    <row r="499" spans="1:13" x14ac:dyDescent="0.3">
      <c r="A499" t="s">
        <v>69</v>
      </c>
      <c r="B499" t="str">
        <f>_xlfn.TEXTBEFORE(_xlfn.TEXTAFTER(A499,"cas-"),"_")</f>
        <v>571-20-0</v>
      </c>
      <c r="C499" t="s">
        <v>10</v>
      </c>
      <c r="D499" t="s">
        <v>11</v>
      </c>
      <c r="E499" t="s">
        <v>12</v>
      </c>
      <c r="F499">
        <v>-10.97</v>
      </c>
      <c r="G499">
        <v>0.94430000000000003</v>
      </c>
      <c r="H499">
        <v>8.2420000000000009</v>
      </c>
      <c r="I499">
        <v>7.7829206000000006</v>
      </c>
      <c r="K499" t="str">
        <f>INDEX([1]Sheet1!$A$1:$G$108, MATCH(B499,[1]Sheet1!$B:$B,0), 1)</f>
        <v>3-b-Androstanediol</v>
      </c>
      <c r="L499" t="str">
        <f>INDEX([1]Sheet1!$A$1:$G$108, MATCH(B499,[1]Sheet1!$B:$B,0), 3)</f>
        <v>moderate</v>
      </c>
      <c r="M499" t="s">
        <v>109</v>
      </c>
    </row>
    <row r="500" spans="1:13" x14ac:dyDescent="0.3">
      <c r="A500" t="s">
        <v>69</v>
      </c>
      <c r="B500" t="str">
        <f>_xlfn.TEXTBEFORE(_xlfn.TEXTAFTER(A500,"cas-"),"_")</f>
        <v>571-20-0</v>
      </c>
      <c r="C500" t="s">
        <v>24</v>
      </c>
      <c r="D500" t="s">
        <v>25</v>
      </c>
      <c r="E500" t="s">
        <v>12</v>
      </c>
      <c r="F500">
        <v>-10.56</v>
      </c>
      <c r="G500">
        <v>0.87339999999999995</v>
      </c>
      <c r="H500">
        <v>8.1539999999999999</v>
      </c>
      <c r="I500">
        <v>7.1217035999999991</v>
      </c>
      <c r="K500" t="str">
        <f>INDEX([1]Sheet1!$A$1:$G$108, MATCH(B500,[1]Sheet1!$B:$B,0), 1)</f>
        <v>3-b-Androstanediol</v>
      </c>
      <c r="L500" t="str">
        <f>INDEX([1]Sheet1!$A$1:$G$108, MATCH(B500,[1]Sheet1!$B:$B,0), 3)</f>
        <v>moderate</v>
      </c>
      <c r="M500" t="s">
        <v>109</v>
      </c>
    </row>
    <row r="501" spans="1:13" x14ac:dyDescent="0.3">
      <c r="A501" t="s">
        <v>69</v>
      </c>
      <c r="B501" t="str">
        <f>_xlfn.TEXTBEFORE(_xlfn.TEXTAFTER(A501,"cas-"),"_")</f>
        <v>571-20-0</v>
      </c>
      <c r="C501" t="s">
        <v>18</v>
      </c>
      <c r="D501" t="s">
        <v>11</v>
      </c>
      <c r="E501" t="s">
        <v>12</v>
      </c>
      <c r="F501">
        <v>-11.11</v>
      </c>
      <c r="G501">
        <v>0.94899999999999995</v>
      </c>
      <c r="H501">
        <v>8.484</v>
      </c>
      <c r="I501">
        <v>8.0513159999999999</v>
      </c>
      <c r="K501" t="str">
        <f>INDEX([1]Sheet1!$A$1:$G$108, MATCH(B501,[1]Sheet1!$B:$B,0), 1)</f>
        <v>3-b-Androstanediol</v>
      </c>
      <c r="L501" t="str">
        <f>INDEX([1]Sheet1!$A$1:$G$108, MATCH(B501,[1]Sheet1!$B:$B,0), 3)</f>
        <v>moderate</v>
      </c>
      <c r="M501" t="s">
        <v>109</v>
      </c>
    </row>
    <row r="502" spans="1:13" x14ac:dyDescent="0.3">
      <c r="A502" t="s">
        <v>69</v>
      </c>
      <c r="B502" t="str">
        <f>_xlfn.TEXTBEFORE(_xlfn.TEXTAFTER(A502,"cas-"),"_")</f>
        <v>571-20-0</v>
      </c>
      <c r="C502" t="s">
        <v>15</v>
      </c>
      <c r="D502" t="s">
        <v>16</v>
      </c>
      <c r="E502" t="s">
        <v>12</v>
      </c>
      <c r="F502">
        <v>-10.66</v>
      </c>
      <c r="G502">
        <v>0.91710000000000003</v>
      </c>
      <c r="H502">
        <v>8.1159999999999997</v>
      </c>
      <c r="I502">
        <v>7.4431836000000002</v>
      </c>
      <c r="K502" t="str">
        <f>INDEX([1]Sheet1!$A$1:$G$108, MATCH(B502,[1]Sheet1!$B:$B,0), 1)</f>
        <v>3-b-Androstanediol</v>
      </c>
      <c r="L502" t="str">
        <f>INDEX([1]Sheet1!$A$1:$G$108, MATCH(B502,[1]Sheet1!$B:$B,0), 3)</f>
        <v>moderate</v>
      </c>
      <c r="M502" t="s">
        <v>109</v>
      </c>
    </row>
    <row r="503" spans="1:13" x14ac:dyDescent="0.3">
      <c r="A503" t="s">
        <v>69</v>
      </c>
      <c r="B503" t="str">
        <f>_xlfn.TEXTBEFORE(_xlfn.TEXTAFTER(A503,"cas-"),"_")</f>
        <v>571-20-0</v>
      </c>
      <c r="C503" t="s">
        <v>30</v>
      </c>
      <c r="D503" t="s">
        <v>31</v>
      </c>
      <c r="E503" t="s">
        <v>12</v>
      </c>
      <c r="F503">
        <v>-8.27</v>
      </c>
      <c r="G503">
        <v>0.71879999999999999</v>
      </c>
      <c r="H503">
        <v>7.9240000000000004</v>
      </c>
      <c r="I503">
        <v>5.6957712000000003</v>
      </c>
      <c r="K503" t="str">
        <f>INDEX([1]Sheet1!$A$1:$G$108, MATCH(B503,[1]Sheet1!$B:$B,0), 1)</f>
        <v>3-b-Androstanediol</v>
      </c>
      <c r="L503" t="str">
        <f>INDEX([1]Sheet1!$A$1:$G$108, MATCH(B503,[1]Sheet1!$B:$B,0), 3)</f>
        <v>moderate</v>
      </c>
      <c r="M503" t="s">
        <v>109</v>
      </c>
    </row>
    <row r="504" spans="1:13" x14ac:dyDescent="0.3">
      <c r="A504" t="s">
        <v>69</v>
      </c>
      <c r="B504" t="str">
        <f>_xlfn.TEXTBEFORE(_xlfn.TEXTAFTER(A504,"cas-"),"_")</f>
        <v>571-20-0</v>
      </c>
      <c r="C504" t="s">
        <v>17</v>
      </c>
      <c r="D504" t="s">
        <v>11</v>
      </c>
      <c r="E504" t="s">
        <v>12</v>
      </c>
      <c r="F504">
        <v>-10.3</v>
      </c>
      <c r="G504">
        <v>0.93740000000000001</v>
      </c>
      <c r="H504">
        <v>8.2390000000000008</v>
      </c>
      <c r="I504">
        <v>7.7232386000000011</v>
      </c>
      <c r="K504" t="str">
        <f>INDEX([1]Sheet1!$A$1:$G$108, MATCH(B504,[1]Sheet1!$B:$B,0), 1)</f>
        <v>3-b-Androstanediol</v>
      </c>
      <c r="L504" t="str">
        <f>INDEX([1]Sheet1!$A$1:$G$108, MATCH(B504,[1]Sheet1!$B:$B,0), 3)</f>
        <v>moderate</v>
      </c>
      <c r="M504" t="s">
        <v>109</v>
      </c>
    </row>
    <row r="505" spans="1:13" x14ac:dyDescent="0.3">
      <c r="A505" t="s">
        <v>69</v>
      </c>
      <c r="B505" t="str">
        <f>_xlfn.TEXTBEFORE(_xlfn.TEXTAFTER(A505,"cas-"),"_")</f>
        <v>571-20-0</v>
      </c>
      <c r="C505" t="s">
        <v>26</v>
      </c>
      <c r="D505" t="s">
        <v>14</v>
      </c>
      <c r="E505" t="s">
        <v>12</v>
      </c>
      <c r="F505">
        <v>-10.82</v>
      </c>
      <c r="G505">
        <v>0.92710000000000004</v>
      </c>
      <c r="H505">
        <v>8.1029999999999998</v>
      </c>
      <c r="I505">
        <v>7.5122913000000002</v>
      </c>
      <c r="K505" t="str">
        <f>INDEX([1]Sheet1!$A$1:$G$108, MATCH(B505,[1]Sheet1!$B:$B,0), 1)</f>
        <v>3-b-Androstanediol</v>
      </c>
      <c r="L505" t="str">
        <f>INDEX([1]Sheet1!$A$1:$G$108, MATCH(B505,[1]Sheet1!$B:$B,0), 3)</f>
        <v>moderate</v>
      </c>
      <c r="M505" t="s">
        <v>109</v>
      </c>
    </row>
    <row r="506" spans="1:13" x14ac:dyDescent="0.3">
      <c r="A506" t="s">
        <v>69</v>
      </c>
      <c r="B506" t="str">
        <f>_xlfn.TEXTBEFORE(_xlfn.TEXTAFTER(A506,"cas-"),"_")</f>
        <v>571-20-0</v>
      </c>
      <c r="C506" t="s">
        <v>21</v>
      </c>
      <c r="D506" t="s">
        <v>11</v>
      </c>
      <c r="E506" t="s">
        <v>12</v>
      </c>
      <c r="F506">
        <v>-11.21</v>
      </c>
      <c r="G506">
        <v>0.94259999999999999</v>
      </c>
      <c r="H506">
        <v>8.1560000000000006</v>
      </c>
      <c r="I506">
        <v>7.6878456000000002</v>
      </c>
      <c r="K506" t="str">
        <f>INDEX([1]Sheet1!$A$1:$G$108, MATCH(B506,[1]Sheet1!$B:$B,0), 1)</f>
        <v>3-b-Androstanediol</v>
      </c>
      <c r="L506" t="str">
        <f>INDEX([1]Sheet1!$A$1:$G$108, MATCH(B506,[1]Sheet1!$B:$B,0), 3)</f>
        <v>moderate</v>
      </c>
      <c r="M506" t="s">
        <v>109</v>
      </c>
    </row>
    <row r="507" spans="1:13" x14ac:dyDescent="0.3">
      <c r="A507" t="s">
        <v>69</v>
      </c>
      <c r="B507" t="str">
        <f>_xlfn.TEXTBEFORE(_xlfn.TEXTAFTER(A507,"cas-"),"_")</f>
        <v>571-20-0</v>
      </c>
      <c r="C507" t="s">
        <v>22</v>
      </c>
      <c r="D507" t="s">
        <v>23</v>
      </c>
      <c r="E507" t="s">
        <v>12</v>
      </c>
      <c r="F507">
        <v>-10.66</v>
      </c>
      <c r="G507">
        <v>0.81</v>
      </c>
      <c r="H507">
        <v>7.6909999999999998</v>
      </c>
      <c r="I507">
        <v>6.2297099999999999</v>
      </c>
      <c r="K507" t="str">
        <f>INDEX([1]Sheet1!$A$1:$G$108, MATCH(B507,[1]Sheet1!$B:$B,0), 1)</f>
        <v>3-b-Androstanediol</v>
      </c>
      <c r="L507" t="str">
        <f>INDEX([1]Sheet1!$A$1:$G$108, MATCH(B507,[1]Sheet1!$B:$B,0), 3)</f>
        <v>moderate</v>
      </c>
      <c r="M507" t="s">
        <v>109</v>
      </c>
    </row>
    <row r="508" spans="1:13" x14ac:dyDescent="0.3">
      <c r="A508" t="s">
        <v>69</v>
      </c>
      <c r="B508" t="str">
        <f>_xlfn.TEXTBEFORE(_xlfn.TEXTAFTER(A508,"cas-"),"_")</f>
        <v>571-20-0</v>
      </c>
      <c r="C508" t="s">
        <v>28</v>
      </c>
      <c r="D508" t="s">
        <v>29</v>
      </c>
      <c r="E508" t="s">
        <v>12</v>
      </c>
      <c r="F508">
        <v>-9.3699999999999992</v>
      </c>
      <c r="G508">
        <v>0.86429999999999996</v>
      </c>
      <c r="H508">
        <v>8.0340000000000007</v>
      </c>
      <c r="I508">
        <v>6.9437861999999999</v>
      </c>
      <c r="K508" t="str">
        <f>INDEX([1]Sheet1!$A$1:$G$108, MATCH(B508,[1]Sheet1!$B:$B,0), 1)</f>
        <v>3-b-Androstanediol</v>
      </c>
      <c r="L508" t="str">
        <f>INDEX([1]Sheet1!$A$1:$G$108, MATCH(B508,[1]Sheet1!$B:$B,0), 3)</f>
        <v>moderate</v>
      </c>
      <c r="M508" t="s">
        <v>109</v>
      </c>
    </row>
    <row r="509" spans="1:13" x14ac:dyDescent="0.3">
      <c r="A509" t="s">
        <v>70</v>
      </c>
      <c r="B509" t="str">
        <f>_xlfn.TEXTBEFORE(_xlfn.TEXTAFTER(A509,"cas-"),"_")</f>
        <v>571-22-2</v>
      </c>
      <c r="C509" t="s">
        <v>28</v>
      </c>
      <c r="D509" t="s">
        <v>29</v>
      </c>
      <c r="E509" t="s">
        <v>12</v>
      </c>
      <c r="F509">
        <v>-10.16</v>
      </c>
      <c r="G509">
        <v>0.71279999999999999</v>
      </c>
      <c r="H509">
        <v>7.3719999999999999</v>
      </c>
      <c r="I509">
        <v>5.2547616000000001</v>
      </c>
      <c r="K509" t="str">
        <f>INDEX([1]Sheet1!$A$1:$G$108, MATCH(B509,[1]Sheet1!$B:$B,0), 1)</f>
        <v>17b-Hydroxyetiocholan-3-one</v>
      </c>
      <c r="L509" t="str">
        <f>INDEX([1]Sheet1!$A$1:$G$108, MATCH(B509,[1]Sheet1!$B:$B,0), 3)</f>
        <v>weak</v>
      </c>
      <c r="M509" t="s">
        <v>109</v>
      </c>
    </row>
    <row r="510" spans="1:13" x14ac:dyDescent="0.3">
      <c r="A510" t="s">
        <v>70</v>
      </c>
      <c r="B510" t="str">
        <f>_xlfn.TEXTBEFORE(_xlfn.TEXTAFTER(A510,"cas-"),"_")</f>
        <v>571-22-2</v>
      </c>
      <c r="C510" t="s">
        <v>18</v>
      </c>
      <c r="D510" t="s">
        <v>11</v>
      </c>
      <c r="E510" t="s">
        <v>12</v>
      </c>
      <c r="F510">
        <v>-9.86</v>
      </c>
      <c r="G510">
        <v>0.73650000000000004</v>
      </c>
      <c r="H510">
        <v>7.6680000000000001</v>
      </c>
      <c r="I510">
        <v>5.6474820000000001</v>
      </c>
      <c r="K510" t="str">
        <f>INDEX([1]Sheet1!$A$1:$G$108, MATCH(B510,[1]Sheet1!$B:$B,0), 1)</f>
        <v>17b-Hydroxyetiocholan-3-one</v>
      </c>
      <c r="L510" t="str">
        <f>INDEX([1]Sheet1!$A$1:$G$108, MATCH(B510,[1]Sheet1!$B:$B,0), 3)</f>
        <v>weak</v>
      </c>
      <c r="M510" t="s">
        <v>109</v>
      </c>
    </row>
    <row r="511" spans="1:13" x14ac:dyDescent="0.3">
      <c r="A511" t="s">
        <v>70</v>
      </c>
      <c r="B511" t="str">
        <f>_xlfn.TEXTBEFORE(_xlfn.TEXTAFTER(A511,"cas-"),"_")</f>
        <v>571-22-2</v>
      </c>
      <c r="C511" t="s">
        <v>13</v>
      </c>
      <c r="D511" t="s">
        <v>14</v>
      </c>
      <c r="E511" t="s">
        <v>12</v>
      </c>
      <c r="F511">
        <v>-9.2200000000000006</v>
      </c>
      <c r="G511">
        <v>0.64270000000000005</v>
      </c>
      <c r="H511">
        <v>6.9569999999999999</v>
      </c>
      <c r="I511">
        <v>4.4712639000000003</v>
      </c>
      <c r="K511" t="str">
        <f>INDEX([1]Sheet1!$A$1:$G$108, MATCH(B511,[1]Sheet1!$B:$B,0), 1)</f>
        <v>17b-Hydroxyetiocholan-3-one</v>
      </c>
      <c r="L511" t="str">
        <f>INDEX([1]Sheet1!$A$1:$G$108, MATCH(B511,[1]Sheet1!$B:$B,0), 3)</f>
        <v>weak</v>
      </c>
      <c r="M511" t="s">
        <v>109</v>
      </c>
    </row>
    <row r="512" spans="1:13" x14ac:dyDescent="0.3">
      <c r="A512" t="s">
        <v>70</v>
      </c>
      <c r="B512" t="str">
        <f>_xlfn.TEXTBEFORE(_xlfn.TEXTAFTER(A512,"cas-"),"_")</f>
        <v>571-22-2</v>
      </c>
      <c r="C512" t="s">
        <v>30</v>
      </c>
      <c r="D512" t="s">
        <v>31</v>
      </c>
      <c r="E512" t="s">
        <v>12</v>
      </c>
      <c r="F512">
        <v>-4.75</v>
      </c>
      <c r="G512">
        <v>0.55700000000000005</v>
      </c>
      <c r="H512">
        <v>7.4710000000000001</v>
      </c>
      <c r="I512">
        <v>4.1613470000000001</v>
      </c>
      <c r="K512" t="str">
        <f>INDEX([1]Sheet1!$A$1:$G$108, MATCH(B512,[1]Sheet1!$B:$B,0), 1)</f>
        <v>17b-Hydroxyetiocholan-3-one</v>
      </c>
      <c r="L512" t="str">
        <f>INDEX([1]Sheet1!$A$1:$G$108, MATCH(B512,[1]Sheet1!$B:$B,0), 3)</f>
        <v>weak</v>
      </c>
      <c r="M512" t="s">
        <v>109</v>
      </c>
    </row>
    <row r="513" spans="1:13" x14ac:dyDescent="0.3">
      <c r="A513" t="s">
        <v>70</v>
      </c>
      <c r="B513" t="str">
        <f>_xlfn.TEXTBEFORE(_xlfn.TEXTAFTER(A513,"cas-"),"_")</f>
        <v>571-22-2</v>
      </c>
      <c r="C513" t="s">
        <v>26</v>
      </c>
      <c r="D513" t="s">
        <v>14</v>
      </c>
      <c r="E513" t="s">
        <v>12</v>
      </c>
      <c r="F513">
        <v>-9.18</v>
      </c>
      <c r="G513">
        <v>0.66790000000000005</v>
      </c>
      <c r="H513">
        <v>7.0730000000000004</v>
      </c>
      <c r="I513">
        <v>4.7240567000000002</v>
      </c>
      <c r="K513" t="str">
        <f>INDEX([1]Sheet1!$A$1:$G$108, MATCH(B513,[1]Sheet1!$B:$B,0), 1)</f>
        <v>17b-Hydroxyetiocholan-3-one</v>
      </c>
      <c r="L513" t="str">
        <f>INDEX([1]Sheet1!$A$1:$G$108, MATCH(B513,[1]Sheet1!$B:$B,0), 3)</f>
        <v>weak</v>
      </c>
      <c r="M513" t="s">
        <v>109</v>
      </c>
    </row>
    <row r="514" spans="1:13" x14ac:dyDescent="0.3">
      <c r="A514" t="s">
        <v>70</v>
      </c>
      <c r="B514" t="str">
        <f>_xlfn.TEXTBEFORE(_xlfn.TEXTAFTER(A514,"cas-"),"_")</f>
        <v>571-22-2</v>
      </c>
      <c r="C514" t="s">
        <v>21</v>
      </c>
      <c r="D514" t="s">
        <v>11</v>
      </c>
      <c r="E514" t="s">
        <v>12</v>
      </c>
      <c r="F514">
        <v>-6.98</v>
      </c>
      <c r="G514">
        <v>0.57389999999999997</v>
      </c>
      <c r="H514">
        <v>7.032</v>
      </c>
      <c r="I514">
        <v>4.0356648000000002</v>
      </c>
      <c r="K514" t="str">
        <f>INDEX([1]Sheet1!$A$1:$G$108, MATCH(B514,[1]Sheet1!$B:$B,0), 1)</f>
        <v>17b-Hydroxyetiocholan-3-one</v>
      </c>
      <c r="L514" t="str">
        <f>INDEX([1]Sheet1!$A$1:$G$108, MATCH(B514,[1]Sheet1!$B:$B,0), 3)</f>
        <v>weak</v>
      </c>
      <c r="M514" t="s">
        <v>109</v>
      </c>
    </row>
    <row r="515" spans="1:13" x14ac:dyDescent="0.3">
      <c r="A515" t="s">
        <v>70</v>
      </c>
      <c r="B515" t="str">
        <f>_xlfn.TEXTBEFORE(_xlfn.TEXTAFTER(A515,"cas-"),"_")</f>
        <v>571-22-2</v>
      </c>
      <c r="C515" t="s">
        <v>10</v>
      </c>
      <c r="D515" t="s">
        <v>11</v>
      </c>
      <c r="E515" t="s">
        <v>12</v>
      </c>
      <c r="F515">
        <v>-9.11</v>
      </c>
      <c r="G515">
        <v>0.69569999999999999</v>
      </c>
      <c r="H515">
        <v>7.5940000000000003</v>
      </c>
      <c r="I515">
        <v>5.2831457999999998</v>
      </c>
      <c r="K515" t="str">
        <f>INDEX([1]Sheet1!$A$1:$G$108, MATCH(B515,[1]Sheet1!$B:$B,0), 1)</f>
        <v>17b-Hydroxyetiocholan-3-one</v>
      </c>
      <c r="L515" t="str">
        <f>INDEX([1]Sheet1!$A$1:$G$108, MATCH(B515,[1]Sheet1!$B:$B,0), 3)</f>
        <v>weak</v>
      </c>
      <c r="M515" t="s">
        <v>109</v>
      </c>
    </row>
    <row r="516" spans="1:13" x14ac:dyDescent="0.3">
      <c r="A516" t="s">
        <v>70</v>
      </c>
      <c r="B516" t="str">
        <f>_xlfn.TEXTBEFORE(_xlfn.TEXTAFTER(A516,"cas-"),"_")</f>
        <v>571-22-2</v>
      </c>
      <c r="C516" t="s">
        <v>15</v>
      </c>
      <c r="D516" t="s">
        <v>16</v>
      </c>
      <c r="E516" t="s">
        <v>12</v>
      </c>
      <c r="F516">
        <v>-7.68</v>
      </c>
      <c r="G516">
        <v>0.65149999999999997</v>
      </c>
      <c r="H516">
        <v>7.609</v>
      </c>
      <c r="I516">
        <v>4.9572634999999998</v>
      </c>
      <c r="K516" t="str">
        <f>INDEX([1]Sheet1!$A$1:$G$108, MATCH(B516,[1]Sheet1!$B:$B,0), 1)</f>
        <v>17b-Hydroxyetiocholan-3-one</v>
      </c>
      <c r="L516" t="str">
        <f>INDEX([1]Sheet1!$A$1:$G$108, MATCH(B516,[1]Sheet1!$B:$B,0), 3)</f>
        <v>weak</v>
      </c>
      <c r="M516" t="s">
        <v>109</v>
      </c>
    </row>
    <row r="517" spans="1:13" x14ac:dyDescent="0.3">
      <c r="A517" t="s">
        <v>70</v>
      </c>
      <c r="B517" t="str">
        <f>_xlfn.TEXTBEFORE(_xlfn.TEXTAFTER(A517,"cas-"),"_")</f>
        <v>571-22-2</v>
      </c>
      <c r="C517" t="s">
        <v>22</v>
      </c>
      <c r="D517" t="s">
        <v>23</v>
      </c>
      <c r="E517" t="s">
        <v>12</v>
      </c>
      <c r="F517">
        <v>-9.9600000000000009</v>
      </c>
      <c r="G517">
        <v>0.6804</v>
      </c>
      <c r="H517">
        <v>7.27</v>
      </c>
      <c r="I517">
        <v>4.9465079999999997</v>
      </c>
      <c r="K517" t="str">
        <f>INDEX([1]Sheet1!$A$1:$G$108, MATCH(B517,[1]Sheet1!$B:$B,0), 1)</f>
        <v>17b-Hydroxyetiocholan-3-one</v>
      </c>
      <c r="L517" t="str">
        <f>INDEX([1]Sheet1!$A$1:$G$108, MATCH(B517,[1]Sheet1!$B:$B,0), 3)</f>
        <v>weak</v>
      </c>
      <c r="M517" t="s">
        <v>109</v>
      </c>
    </row>
    <row r="518" spans="1:13" x14ac:dyDescent="0.3">
      <c r="A518" t="s">
        <v>70</v>
      </c>
      <c r="B518" t="str">
        <f>_xlfn.TEXTBEFORE(_xlfn.TEXTAFTER(A518,"cas-"),"_")</f>
        <v>571-22-2</v>
      </c>
      <c r="C518" t="s">
        <v>19</v>
      </c>
      <c r="D518" t="s">
        <v>20</v>
      </c>
      <c r="E518" t="s">
        <v>12</v>
      </c>
      <c r="F518">
        <v>-8.61</v>
      </c>
      <c r="G518">
        <v>0.69369999999999998</v>
      </c>
      <c r="H518">
        <v>7.6820000000000004</v>
      </c>
      <c r="I518">
        <v>5.3290034000000004</v>
      </c>
      <c r="K518" t="str">
        <f>INDEX([1]Sheet1!$A$1:$G$108, MATCH(B518,[1]Sheet1!$B:$B,0), 1)</f>
        <v>17b-Hydroxyetiocholan-3-one</v>
      </c>
      <c r="L518" t="str">
        <f>INDEX([1]Sheet1!$A$1:$G$108, MATCH(B518,[1]Sheet1!$B:$B,0), 3)</f>
        <v>weak</v>
      </c>
      <c r="M518" t="s">
        <v>109</v>
      </c>
    </row>
    <row r="519" spans="1:13" x14ac:dyDescent="0.3">
      <c r="A519" t="s">
        <v>70</v>
      </c>
      <c r="B519" t="str">
        <f>_xlfn.TEXTBEFORE(_xlfn.TEXTAFTER(A519,"cas-"),"_")</f>
        <v>571-22-2</v>
      </c>
      <c r="C519" t="s">
        <v>24</v>
      </c>
      <c r="D519" t="s">
        <v>25</v>
      </c>
      <c r="E519" t="s">
        <v>12</v>
      </c>
      <c r="F519">
        <v>-8.51</v>
      </c>
      <c r="G519">
        <v>0.60150000000000003</v>
      </c>
      <c r="H519">
        <v>7.516</v>
      </c>
      <c r="I519">
        <v>4.5208740000000001</v>
      </c>
      <c r="K519" t="str">
        <f>INDEX([1]Sheet1!$A$1:$G$108, MATCH(B519,[1]Sheet1!$B:$B,0), 1)</f>
        <v>17b-Hydroxyetiocholan-3-one</v>
      </c>
      <c r="L519" t="str">
        <f>INDEX([1]Sheet1!$A$1:$G$108, MATCH(B519,[1]Sheet1!$B:$B,0), 3)</f>
        <v>weak</v>
      </c>
      <c r="M519" t="s">
        <v>109</v>
      </c>
    </row>
    <row r="520" spans="1:13" x14ac:dyDescent="0.3">
      <c r="A520" t="s">
        <v>70</v>
      </c>
      <c r="B520" t="str">
        <f>_xlfn.TEXTBEFORE(_xlfn.TEXTAFTER(A520,"cas-"),"_")</f>
        <v>571-22-2</v>
      </c>
      <c r="C520" t="s">
        <v>27</v>
      </c>
      <c r="D520" t="s">
        <v>11</v>
      </c>
      <c r="E520" t="s">
        <v>12</v>
      </c>
      <c r="F520">
        <v>-5.33</v>
      </c>
      <c r="G520">
        <v>0.6159</v>
      </c>
      <c r="H520">
        <v>7.4980000000000002</v>
      </c>
      <c r="I520">
        <v>4.6180181999999999</v>
      </c>
      <c r="K520" t="str">
        <f>INDEX([1]Sheet1!$A$1:$G$108, MATCH(B520,[1]Sheet1!$B:$B,0), 1)</f>
        <v>17b-Hydroxyetiocholan-3-one</v>
      </c>
      <c r="L520" t="str">
        <f>INDEX([1]Sheet1!$A$1:$G$108, MATCH(B520,[1]Sheet1!$B:$B,0), 3)</f>
        <v>weak</v>
      </c>
      <c r="M520" t="s">
        <v>109</v>
      </c>
    </row>
    <row r="521" spans="1:13" x14ac:dyDescent="0.3">
      <c r="A521" t="s">
        <v>70</v>
      </c>
      <c r="B521" t="str">
        <f>_xlfn.TEXTBEFORE(_xlfn.TEXTAFTER(A521,"cas-"),"_")</f>
        <v>571-22-2</v>
      </c>
      <c r="C521" t="s">
        <v>17</v>
      </c>
      <c r="D521" t="s">
        <v>11</v>
      </c>
      <c r="E521" t="s">
        <v>12</v>
      </c>
      <c r="F521">
        <v>-8.99</v>
      </c>
      <c r="G521">
        <v>0.69850000000000001</v>
      </c>
      <c r="H521">
        <v>7.6840000000000002</v>
      </c>
      <c r="I521">
        <v>5.3672740000000001</v>
      </c>
      <c r="K521" t="str">
        <f>INDEX([1]Sheet1!$A$1:$G$108, MATCH(B521,[1]Sheet1!$B:$B,0), 1)</f>
        <v>17b-Hydroxyetiocholan-3-one</v>
      </c>
      <c r="L521" t="str">
        <f>INDEX([1]Sheet1!$A$1:$G$108, MATCH(B521,[1]Sheet1!$B:$B,0), 3)</f>
        <v>weak</v>
      </c>
      <c r="M521" t="s">
        <v>109</v>
      </c>
    </row>
    <row r="522" spans="1:13" x14ac:dyDescent="0.3">
      <c r="A522" t="s">
        <v>71</v>
      </c>
      <c r="B522" t="str">
        <f>_xlfn.TEXTBEFORE(_xlfn.TEXTAFTER(A522,"cas-"),"_")</f>
        <v>58-22-0</v>
      </c>
      <c r="C522" t="s">
        <v>30</v>
      </c>
      <c r="D522" t="s">
        <v>31</v>
      </c>
      <c r="E522" t="s">
        <v>12</v>
      </c>
      <c r="F522">
        <v>-6.4</v>
      </c>
      <c r="G522">
        <v>0.75760000000000005</v>
      </c>
      <c r="H522">
        <v>7.9160000000000004</v>
      </c>
      <c r="I522">
        <v>5.997161600000001</v>
      </c>
      <c r="K522" t="str">
        <f>INDEX([1]Sheet1!$A$1:$G$108, MATCH(B522,[1]Sheet1!$B:$B,0), 1)</f>
        <v>Testosterone</v>
      </c>
      <c r="L522" t="str">
        <f>INDEX([1]Sheet1!$A$1:$G$108, MATCH(B522,[1]Sheet1!$B:$B,0), 3)</f>
        <v>weak</v>
      </c>
      <c r="M522" t="s">
        <v>109</v>
      </c>
    </row>
    <row r="523" spans="1:13" x14ac:dyDescent="0.3">
      <c r="A523" t="s">
        <v>71</v>
      </c>
      <c r="B523" t="str">
        <f>_xlfn.TEXTBEFORE(_xlfn.TEXTAFTER(A523,"cas-"),"_")</f>
        <v>58-22-0</v>
      </c>
      <c r="C523" t="s">
        <v>28</v>
      </c>
      <c r="D523" t="s">
        <v>29</v>
      </c>
      <c r="E523" t="s">
        <v>12</v>
      </c>
      <c r="F523">
        <v>-9.17</v>
      </c>
      <c r="G523">
        <v>0.88790000000000002</v>
      </c>
      <c r="H523">
        <v>7.9189999999999996</v>
      </c>
      <c r="I523">
        <v>7.0312801</v>
      </c>
      <c r="K523" t="str">
        <f>INDEX([1]Sheet1!$A$1:$G$108, MATCH(B523,[1]Sheet1!$B:$B,0), 1)</f>
        <v>Testosterone</v>
      </c>
      <c r="L523" t="str">
        <f>INDEX([1]Sheet1!$A$1:$G$108, MATCH(B523,[1]Sheet1!$B:$B,0), 3)</f>
        <v>weak</v>
      </c>
      <c r="M523" t="s">
        <v>109</v>
      </c>
    </row>
    <row r="524" spans="1:13" x14ac:dyDescent="0.3">
      <c r="A524" t="s">
        <v>71</v>
      </c>
      <c r="B524" t="str">
        <f>_xlfn.TEXTBEFORE(_xlfn.TEXTAFTER(A524,"cas-"),"_")</f>
        <v>58-22-0</v>
      </c>
      <c r="C524" t="s">
        <v>13</v>
      </c>
      <c r="D524" t="s">
        <v>14</v>
      </c>
      <c r="E524" t="s">
        <v>12</v>
      </c>
      <c r="F524">
        <v>-9.7200000000000006</v>
      </c>
      <c r="G524">
        <v>0.85170000000000001</v>
      </c>
      <c r="H524">
        <v>8.0090000000000003</v>
      </c>
      <c r="I524">
        <v>6.8212653000000003</v>
      </c>
      <c r="K524" t="str">
        <f>INDEX([1]Sheet1!$A$1:$G$108, MATCH(B524,[1]Sheet1!$B:$B,0), 1)</f>
        <v>Testosterone</v>
      </c>
      <c r="L524" t="str">
        <f>INDEX([1]Sheet1!$A$1:$G$108, MATCH(B524,[1]Sheet1!$B:$B,0), 3)</f>
        <v>weak</v>
      </c>
      <c r="M524" t="s">
        <v>109</v>
      </c>
    </row>
    <row r="525" spans="1:13" x14ac:dyDescent="0.3">
      <c r="A525" t="s">
        <v>71</v>
      </c>
      <c r="B525" t="str">
        <f>_xlfn.TEXTBEFORE(_xlfn.TEXTAFTER(A525,"cas-"),"_")</f>
        <v>58-22-0</v>
      </c>
      <c r="C525" t="s">
        <v>24</v>
      </c>
      <c r="D525" t="s">
        <v>25</v>
      </c>
      <c r="E525" t="s">
        <v>12</v>
      </c>
      <c r="F525">
        <v>-10.47</v>
      </c>
      <c r="G525">
        <v>0.91639999999999999</v>
      </c>
      <c r="H525">
        <v>8.0020000000000007</v>
      </c>
      <c r="I525">
        <v>7.3330328000000007</v>
      </c>
      <c r="K525" t="str">
        <f>INDEX([1]Sheet1!$A$1:$G$108, MATCH(B525,[1]Sheet1!$B:$B,0), 1)</f>
        <v>Testosterone</v>
      </c>
      <c r="L525" t="str">
        <f>INDEX([1]Sheet1!$A$1:$G$108, MATCH(B525,[1]Sheet1!$B:$B,0), 3)</f>
        <v>weak</v>
      </c>
      <c r="M525" t="s">
        <v>109</v>
      </c>
    </row>
    <row r="526" spans="1:13" x14ac:dyDescent="0.3">
      <c r="A526" t="s">
        <v>71</v>
      </c>
      <c r="B526" t="str">
        <f>_xlfn.TEXTBEFORE(_xlfn.TEXTAFTER(A526,"cas-"),"_")</f>
        <v>58-22-0</v>
      </c>
      <c r="C526" t="s">
        <v>22</v>
      </c>
      <c r="D526" t="s">
        <v>23</v>
      </c>
      <c r="E526" t="s">
        <v>12</v>
      </c>
      <c r="F526">
        <v>-10.46</v>
      </c>
      <c r="G526">
        <v>0.87280000000000002</v>
      </c>
      <c r="H526">
        <v>7.5860000000000003</v>
      </c>
      <c r="I526">
        <v>6.6210608000000004</v>
      </c>
      <c r="K526" t="str">
        <f>INDEX([1]Sheet1!$A$1:$G$108, MATCH(B526,[1]Sheet1!$B:$B,0), 1)</f>
        <v>Testosterone</v>
      </c>
      <c r="L526" t="str">
        <f>INDEX([1]Sheet1!$A$1:$G$108, MATCH(B526,[1]Sheet1!$B:$B,0), 3)</f>
        <v>weak</v>
      </c>
      <c r="M526" t="s">
        <v>109</v>
      </c>
    </row>
    <row r="527" spans="1:13" x14ac:dyDescent="0.3">
      <c r="A527" t="s">
        <v>71</v>
      </c>
      <c r="B527" t="str">
        <f>_xlfn.TEXTBEFORE(_xlfn.TEXTAFTER(A527,"cas-"),"_")</f>
        <v>58-22-0</v>
      </c>
      <c r="C527" t="s">
        <v>19</v>
      </c>
      <c r="D527" t="s">
        <v>20</v>
      </c>
      <c r="E527" t="s">
        <v>12</v>
      </c>
      <c r="F527">
        <v>-10.61</v>
      </c>
      <c r="G527">
        <v>0.92859999999999998</v>
      </c>
      <c r="H527">
        <v>8.0449999999999999</v>
      </c>
      <c r="I527">
        <v>7.4705870000000001</v>
      </c>
      <c r="K527" t="str">
        <f>INDEX([1]Sheet1!$A$1:$G$108, MATCH(B527,[1]Sheet1!$B:$B,0), 1)</f>
        <v>Testosterone</v>
      </c>
      <c r="L527" t="str">
        <f>INDEX([1]Sheet1!$A$1:$G$108, MATCH(B527,[1]Sheet1!$B:$B,0), 3)</f>
        <v>weak</v>
      </c>
      <c r="M527" t="s">
        <v>109</v>
      </c>
    </row>
    <row r="528" spans="1:13" x14ac:dyDescent="0.3">
      <c r="A528" t="s">
        <v>71</v>
      </c>
      <c r="B528" t="str">
        <f>_xlfn.TEXTBEFORE(_xlfn.TEXTAFTER(A528,"cas-"),"_")</f>
        <v>58-22-0</v>
      </c>
      <c r="C528" t="s">
        <v>15</v>
      </c>
      <c r="D528" t="s">
        <v>16</v>
      </c>
      <c r="E528" t="s">
        <v>12</v>
      </c>
      <c r="F528">
        <v>-10.119999999999999</v>
      </c>
      <c r="G528">
        <v>0.90639999999999998</v>
      </c>
      <c r="H528">
        <v>8.0329999999999995</v>
      </c>
      <c r="I528">
        <v>7.2811111999999998</v>
      </c>
      <c r="K528" t="str">
        <f>INDEX([1]Sheet1!$A$1:$G$108, MATCH(B528,[1]Sheet1!$B:$B,0), 1)</f>
        <v>Testosterone</v>
      </c>
      <c r="L528" t="str">
        <f>INDEX([1]Sheet1!$A$1:$G$108, MATCH(B528,[1]Sheet1!$B:$B,0), 3)</f>
        <v>weak</v>
      </c>
      <c r="M528" t="s">
        <v>109</v>
      </c>
    </row>
    <row r="529" spans="1:13" x14ac:dyDescent="0.3">
      <c r="A529" t="s">
        <v>71</v>
      </c>
      <c r="B529" t="str">
        <f>_xlfn.TEXTBEFORE(_xlfn.TEXTAFTER(A529,"cas-"),"_")</f>
        <v>58-22-0</v>
      </c>
      <c r="C529" t="s">
        <v>18</v>
      </c>
      <c r="D529" t="s">
        <v>11</v>
      </c>
      <c r="E529" t="s">
        <v>12</v>
      </c>
      <c r="F529">
        <v>-10.68</v>
      </c>
      <c r="G529">
        <v>0.9032</v>
      </c>
      <c r="H529">
        <v>7.9950000000000001</v>
      </c>
      <c r="I529">
        <v>7.2210840000000003</v>
      </c>
      <c r="K529" t="str">
        <f>INDEX([1]Sheet1!$A$1:$G$108, MATCH(B529,[1]Sheet1!$B:$B,0), 1)</f>
        <v>Testosterone</v>
      </c>
      <c r="L529" t="str">
        <f>INDEX([1]Sheet1!$A$1:$G$108, MATCH(B529,[1]Sheet1!$B:$B,0), 3)</f>
        <v>weak</v>
      </c>
      <c r="M529" t="s">
        <v>109</v>
      </c>
    </row>
    <row r="530" spans="1:13" x14ac:dyDescent="0.3">
      <c r="A530" t="s">
        <v>71</v>
      </c>
      <c r="B530" t="str">
        <f>_xlfn.TEXTBEFORE(_xlfn.TEXTAFTER(A530,"cas-"),"_")</f>
        <v>58-22-0</v>
      </c>
      <c r="C530" t="s">
        <v>21</v>
      </c>
      <c r="D530" t="s">
        <v>11</v>
      </c>
      <c r="E530" t="s">
        <v>12</v>
      </c>
      <c r="F530">
        <v>-10.56</v>
      </c>
      <c r="G530">
        <v>0.87370000000000003</v>
      </c>
      <c r="H530">
        <v>7.7949999999999999</v>
      </c>
      <c r="I530">
        <v>6.8104915000000004</v>
      </c>
      <c r="K530" t="str">
        <f>INDEX([1]Sheet1!$A$1:$G$108, MATCH(B530,[1]Sheet1!$B:$B,0), 1)</f>
        <v>Testosterone</v>
      </c>
      <c r="L530" t="str">
        <f>INDEX([1]Sheet1!$A$1:$G$108, MATCH(B530,[1]Sheet1!$B:$B,0), 3)</f>
        <v>weak</v>
      </c>
      <c r="M530" t="s">
        <v>109</v>
      </c>
    </row>
    <row r="531" spans="1:13" x14ac:dyDescent="0.3">
      <c r="A531" t="s">
        <v>71</v>
      </c>
      <c r="B531" t="str">
        <f>_xlfn.TEXTBEFORE(_xlfn.TEXTAFTER(A531,"cas-"),"_")</f>
        <v>58-22-0</v>
      </c>
      <c r="C531" t="s">
        <v>17</v>
      </c>
      <c r="D531" t="s">
        <v>11</v>
      </c>
      <c r="E531" t="s">
        <v>12</v>
      </c>
      <c r="F531">
        <v>-9.98</v>
      </c>
      <c r="G531">
        <v>0.87980000000000003</v>
      </c>
      <c r="H531">
        <v>7.9080000000000004</v>
      </c>
      <c r="I531">
        <v>6.9574584000000002</v>
      </c>
      <c r="K531" t="str">
        <f>INDEX([1]Sheet1!$A$1:$G$108, MATCH(B531,[1]Sheet1!$B:$B,0), 1)</f>
        <v>Testosterone</v>
      </c>
      <c r="L531" t="str">
        <f>INDEX([1]Sheet1!$A$1:$G$108, MATCH(B531,[1]Sheet1!$B:$B,0), 3)</f>
        <v>weak</v>
      </c>
      <c r="M531" t="s">
        <v>109</v>
      </c>
    </row>
    <row r="532" spans="1:13" x14ac:dyDescent="0.3">
      <c r="A532" t="s">
        <v>71</v>
      </c>
      <c r="B532" t="str">
        <f>_xlfn.TEXTBEFORE(_xlfn.TEXTAFTER(A532,"cas-"),"_")</f>
        <v>58-22-0</v>
      </c>
      <c r="C532" t="s">
        <v>27</v>
      </c>
      <c r="D532" t="s">
        <v>11</v>
      </c>
      <c r="E532" t="s">
        <v>12</v>
      </c>
      <c r="F532">
        <v>-10.54</v>
      </c>
      <c r="G532">
        <v>0.85309999999999997</v>
      </c>
      <c r="H532">
        <v>7.9850000000000003</v>
      </c>
      <c r="I532">
        <v>6.8120035000000003</v>
      </c>
      <c r="K532" t="str">
        <f>INDEX([1]Sheet1!$A$1:$G$108, MATCH(B532,[1]Sheet1!$B:$B,0), 1)</f>
        <v>Testosterone</v>
      </c>
      <c r="L532" t="str">
        <f>INDEX([1]Sheet1!$A$1:$G$108, MATCH(B532,[1]Sheet1!$B:$B,0), 3)</f>
        <v>weak</v>
      </c>
      <c r="M532" t="s">
        <v>109</v>
      </c>
    </row>
    <row r="533" spans="1:13" x14ac:dyDescent="0.3">
      <c r="A533" t="s">
        <v>71</v>
      </c>
      <c r="B533" t="str">
        <f>_xlfn.TEXTBEFORE(_xlfn.TEXTAFTER(A533,"cas-"),"_")</f>
        <v>58-22-0</v>
      </c>
      <c r="C533" t="s">
        <v>10</v>
      </c>
      <c r="D533" t="s">
        <v>11</v>
      </c>
      <c r="E533" t="s">
        <v>12</v>
      </c>
      <c r="F533">
        <v>-9.6</v>
      </c>
      <c r="G533">
        <v>0.92049999999999998</v>
      </c>
      <c r="H533">
        <v>8.0690000000000008</v>
      </c>
      <c r="I533">
        <v>7.4275145000000009</v>
      </c>
      <c r="K533" t="str">
        <f>INDEX([1]Sheet1!$A$1:$G$108, MATCH(B533,[1]Sheet1!$B:$B,0), 1)</f>
        <v>Testosterone</v>
      </c>
      <c r="L533" t="str">
        <f>INDEX([1]Sheet1!$A$1:$G$108, MATCH(B533,[1]Sheet1!$B:$B,0), 3)</f>
        <v>weak</v>
      </c>
      <c r="M533" t="s">
        <v>109</v>
      </c>
    </row>
    <row r="534" spans="1:13" x14ac:dyDescent="0.3">
      <c r="A534" t="s">
        <v>71</v>
      </c>
      <c r="B534" t="str">
        <f>_xlfn.TEXTBEFORE(_xlfn.TEXTAFTER(A534,"cas-"),"_")</f>
        <v>58-22-0</v>
      </c>
      <c r="C534" t="s">
        <v>26</v>
      </c>
      <c r="D534" t="s">
        <v>14</v>
      </c>
      <c r="E534" t="s">
        <v>12</v>
      </c>
      <c r="F534">
        <v>-10.16</v>
      </c>
      <c r="G534">
        <v>0.90329999999999999</v>
      </c>
      <c r="H534">
        <v>7.7009999999999996</v>
      </c>
      <c r="I534">
        <v>6.9563132999999997</v>
      </c>
      <c r="K534" t="str">
        <f>INDEX([1]Sheet1!$A$1:$G$108, MATCH(B534,[1]Sheet1!$B:$B,0), 1)</f>
        <v>Testosterone</v>
      </c>
      <c r="L534" t="str">
        <f>INDEX([1]Sheet1!$A$1:$G$108, MATCH(B534,[1]Sheet1!$B:$B,0), 3)</f>
        <v>weak</v>
      </c>
      <c r="M534" t="s">
        <v>109</v>
      </c>
    </row>
    <row r="535" spans="1:13" x14ac:dyDescent="0.3">
      <c r="A535" t="s">
        <v>72</v>
      </c>
      <c r="B535" t="str">
        <f>_xlfn.TEXTBEFORE(_xlfn.TEXTAFTER(A535,"cas-"),"_")</f>
        <v>58-72-0</v>
      </c>
      <c r="C535" t="s">
        <v>21</v>
      </c>
      <c r="D535" t="s">
        <v>11</v>
      </c>
      <c r="E535" t="s">
        <v>12</v>
      </c>
      <c r="F535">
        <v>-9.6199999999999992</v>
      </c>
      <c r="G535">
        <v>0.87150000000000005</v>
      </c>
      <c r="H535">
        <v>6.71</v>
      </c>
      <c r="I535">
        <v>5.8477649999999999</v>
      </c>
      <c r="K535" t="str">
        <f>INDEX([1]Sheet1!$A$1:$G$108, MATCH(B535,[1]Sheet1!$B:$B,0), 1)</f>
        <v>Triphenylethylene</v>
      </c>
      <c r="L535" t="str">
        <f>INDEX([1]Sheet1!$A$1:$G$108, MATCH(B535,[1]Sheet1!$B:$B,0), 3)</f>
        <v>weak</v>
      </c>
      <c r="M535" t="s">
        <v>109</v>
      </c>
    </row>
    <row r="536" spans="1:13" x14ac:dyDescent="0.3">
      <c r="A536" t="s">
        <v>72</v>
      </c>
      <c r="B536" t="str">
        <f>_xlfn.TEXTBEFORE(_xlfn.TEXTAFTER(A536,"cas-"),"_")</f>
        <v>58-72-0</v>
      </c>
      <c r="C536" t="s">
        <v>28</v>
      </c>
      <c r="D536" t="s">
        <v>29</v>
      </c>
      <c r="E536" t="s">
        <v>12</v>
      </c>
      <c r="F536">
        <v>-9.69</v>
      </c>
      <c r="G536">
        <v>0.91349999999999998</v>
      </c>
      <c r="H536">
        <v>6.7359999999999998</v>
      </c>
      <c r="I536">
        <v>6.1533359999999986</v>
      </c>
      <c r="K536" t="str">
        <f>INDEX([1]Sheet1!$A$1:$G$108, MATCH(B536,[1]Sheet1!$B:$B,0), 1)</f>
        <v>Triphenylethylene</v>
      </c>
      <c r="L536" t="str">
        <f>INDEX([1]Sheet1!$A$1:$G$108, MATCH(B536,[1]Sheet1!$B:$B,0), 3)</f>
        <v>weak</v>
      </c>
      <c r="M536" t="s">
        <v>109</v>
      </c>
    </row>
    <row r="537" spans="1:13" x14ac:dyDescent="0.3">
      <c r="A537" t="s">
        <v>72</v>
      </c>
      <c r="B537" t="str">
        <f>_xlfn.TEXTBEFORE(_xlfn.TEXTAFTER(A537,"cas-"),"_")</f>
        <v>58-72-0</v>
      </c>
      <c r="C537" t="s">
        <v>17</v>
      </c>
      <c r="D537" t="s">
        <v>11</v>
      </c>
      <c r="E537" t="s">
        <v>12</v>
      </c>
      <c r="F537">
        <v>-9.6999999999999993</v>
      </c>
      <c r="G537">
        <v>0.88539999999999996</v>
      </c>
      <c r="H537">
        <v>6.7290000000000001</v>
      </c>
      <c r="I537">
        <v>5.9578566000000004</v>
      </c>
      <c r="K537" t="str">
        <f>INDEX([1]Sheet1!$A$1:$G$108, MATCH(B537,[1]Sheet1!$B:$B,0), 1)</f>
        <v>Triphenylethylene</v>
      </c>
      <c r="L537" t="str">
        <f>INDEX([1]Sheet1!$A$1:$G$108, MATCH(B537,[1]Sheet1!$B:$B,0), 3)</f>
        <v>weak</v>
      </c>
      <c r="M537" t="s">
        <v>109</v>
      </c>
    </row>
    <row r="538" spans="1:13" x14ac:dyDescent="0.3">
      <c r="A538" t="s">
        <v>72</v>
      </c>
      <c r="B538" t="str">
        <f>_xlfn.TEXTBEFORE(_xlfn.TEXTAFTER(A538,"cas-"),"_")</f>
        <v>58-72-0</v>
      </c>
      <c r="C538" t="s">
        <v>19</v>
      </c>
      <c r="D538" t="s">
        <v>20</v>
      </c>
      <c r="E538" t="s">
        <v>12</v>
      </c>
      <c r="F538">
        <v>-9.11</v>
      </c>
      <c r="G538">
        <v>0.72609999999999997</v>
      </c>
      <c r="H538">
        <v>6.6449999999999996</v>
      </c>
      <c r="I538">
        <v>4.8249344999999986</v>
      </c>
      <c r="K538" t="str">
        <f>INDEX([1]Sheet1!$A$1:$G$108, MATCH(B538,[1]Sheet1!$B:$B,0), 1)</f>
        <v>Triphenylethylene</v>
      </c>
      <c r="L538" t="str">
        <f>INDEX([1]Sheet1!$A$1:$G$108, MATCH(B538,[1]Sheet1!$B:$B,0), 3)</f>
        <v>weak</v>
      </c>
      <c r="M538" t="s">
        <v>109</v>
      </c>
    </row>
    <row r="539" spans="1:13" x14ac:dyDescent="0.3">
      <c r="A539" t="s">
        <v>72</v>
      </c>
      <c r="B539" t="str">
        <f>_xlfn.TEXTBEFORE(_xlfn.TEXTAFTER(A539,"cas-"),"_")</f>
        <v>58-72-0</v>
      </c>
      <c r="C539" t="s">
        <v>30</v>
      </c>
      <c r="D539" t="s">
        <v>31</v>
      </c>
      <c r="E539" t="s">
        <v>12</v>
      </c>
      <c r="F539">
        <v>-8.93</v>
      </c>
      <c r="G539">
        <v>0.77769999999999995</v>
      </c>
      <c r="H539">
        <v>6.6449999999999996</v>
      </c>
      <c r="I539">
        <v>5.1678164999999989</v>
      </c>
      <c r="K539" t="str">
        <f>INDEX([1]Sheet1!$A$1:$G$108, MATCH(B539,[1]Sheet1!$B:$B,0), 1)</f>
        <v>Triphenylethylene</v>
      </c>
      <c r="L539" t="str">
        <f>INDEX([1]Sheet1!$A$1:$G$108, MATCH(B539,[1]Sheet1!$B:$B,0), 3)</f>
        <v>weak</v>
      </c>
      <c r="M539" t="s">
        <v>109</v>
      </c>
    </row>
    <row r="540" spans="1:13" x14ac:dyDescent="0.3">
      <c r="A540" t="s">
        <v>72</v>
      </c>
      <c r="B540" t="str">
        <f>_xlfn.TEXTBEFORE(_xlfn.TEXTAFTER(A540,"cas-"),"_")</f>
        <v>58-72-0</v>
      </c>
      <c r="C540" t="s">
        <v>15</v>
      </c>
      <c r="D540" t="s">
        <v>16</v>
      </c>
      <c r="E540" t="s">
        <v>12</v>
      </c>
      <c r="F540">
        <v>-9.86</v>
      </c>
      <c r="G540">
        <v>0.76259999999999994</v>
      </c>
      <c r="H540">
        <v>6.6219999999999999</v>
      </c>
      <c r="I540">
        <v>5.0499371999999996</v>
      </c>
      <c r="K540" t="str">
        <f>INDEX([1]Sheet1!$A$1:$G$108, MATCH(B540,[1]Sheet1!$B:$B,0), 1)</f>
        <v>Triphenylethylene</v>
      </c>
      <c r="L540" t="str">
        <f>INDEX([1]Sheet1!$A$1:$G$108, MATCH(B540,[1]Sheet1!$B:$B,0), 3)</f>
        <v>weak</v>
      </c>
      <c r="M540" t="s">
        <v>109</v>
      </c>
    </row>
    <row r="541" spans="1:13" x14ac:dyDescent="0.3">
      <c r="A541" t="s">
        <v>72</v>
      </c>
      <c r="B541" t="str">
        <f>_xlfn.TEXTBEFORE(_xlfn.TEXTAFTER(A541,"cas-"),"_")</f>
        <v>58-72-0</v>
      </c>
      <c r="C541" t="s">
        <v>18</v>
      </c>
      <c r="D541" t="s">
        <v>11</v>
      </c>
      <c r="E541" t="s">
        <v>12</v>
      </c>
      <c r="F541">
        <v>-9.3699999999999992</v>
      </c>
      <c r="G541">
        <v>0.87350000000000005</v>
      </c>
      <c r="H541">
        <v>6.5830000000000002</v>
      </c>
      <c r="I541">
        <v>5.7502505000000008</v>
      </c>
      <c r="K541" t="str">
        <f>INDEX([1]Sheet1!$A$1:$G$108, MATCH(B541,[1]Sheet1!$B:$B,0), 1)</f>
        <v>Triphenylethylene</v>
      </c>
      <c r="L541" t="str">
        <f>INDEX([1]Sheet1!$A$1:$G$108, MATCH(B541,[1]Sheet1!$B:$B,0), 3)</f>
        <v>weak</v>
      </c>
      <c r="M541" t="s">
        <v>109</v>
      </c>
    </row>
    <row r="542" spans="1:13" x14ac:dyDescent="0.3">
      <c r="A542" t="s">
        <v>72</v>
      </c>
      <c r="B542" t="str">
        <f>_xlfn.TEXTBEFORE(_xlfn.TEXTAFTER(A542,"cas-"),"_")</f>
        <v>58-72-0</v>
      </c>
      <c r="C542" t="s">
        <v>24</v>
      </c>
      <c r="D542" t="s">
        <v>25</v>
      </c>
      <c r="E542" t="s">
        <v>12</v>
      </c>
      <c r="F542">
        <v>-9.2100000000000009</v>
      </c>
      <c r="G542">
        <v>0.82310000000000005</v>
      </c>
      <c r="H542">
        <v>6.585</v>
      </c>
      <c r="I542">
        <v>5.4201135000000003</v>
      </c>
      <c r="K542" t="str">
        <f>INDEX([1]Sheet1!$A$1:$G$108, MATCH(B542,[1]Sheet1!$B:$B,0), 1)</f>
        <v>Triphenylethylene</v>
      </c>
      <c r="L542" t="str">
        <f>INDEX([1]Sheet1!$A$1:$G$108, MATCH(B542,[1]Sheet1!$B:$B,0), 3)</f>
        <v>weak</v>
      </c>
      <c r="M542" t="s">
        <v>109</v>
      </c>
    </row>
    <row r="543" spans="1:13" x14ac:dyDescent="0.3">
      <c r="A543" t="s">
        <v>72</v>
      </c>
      <c r="B543" t="str">
        <f>_xlfn.TEXTBEFORE(_xlfn.TEXTAFTER(A543,"cas-"),"_")</f>
        <v>58-72-0</v>
      </c>
      <c r="C543" t="s">
        <v>22</v>
      </c>
      <c r="D543" t="s">
        <v>23</v>
      </c>
      <c r="E543" t="s">
        <v>12</v>
      </c>
      <c r="F543">
        <v>-9.4700000000000006</v>
      </c>
      <c r="G543">
        <v>0.85209999999999997</v>
      </c>
      <c r="H543">
        <v>6.617</v>
      </c>
      <c r="I543">
        <v>5.6383456999999986</v>
      </c>
      <c r="K543" t="str">
        <f>INDEX([1]Sheet1!$A$1:$G$108, MATCH(B543,[1]Sheet1!$B:$B,0), 1)</f>
        <v>Triphenylethylene</v>
      </c>
      <c r="L543" t="str">
        <f>INDEX([1]Sheet1!$A$1:$G$108, MATCH(B543,[1]Sheet1!$B:$B,0), 3)</f>
        <v>weak</v>
      </c>
      <c r="M543" t="s">
        <v>109</v>
      </c>
    </row>
    <row r="544" spans="1:13" x14ac:dyDescent="0.3">
      <c r="A544" t="s">
        <v>72</v>
      </c>
      <c r="B544" t="str">
        <f>_xlfn.TEXTBEFORE(_xlfn.TEXTAFTER(A544,"cas-"),"_")</f>
        <v>58-72-0</v>
      </c>
      <c r="C544" t="s">
        <v>27</v>
      </c>
      <c r="D544" t="s">
        <v>11</v>
      </c>
      <c r="E544" t="s">
        <v>12</v>
      </c>
      <c r="F544">
        <v>-9.07</v>
      </c>
      <c r="G544">
        <v>0.59409999999999996</v>
      </c>
      <c r="H544">
        <v>6.718</v>
      </c>
      <c r="I544">
        <v>3.9911637999999998</v>
      </c>
      <c r="K544" t="str">
        <f>INDEX([1]Sheet1!$A$1:$G$108, MATCH(B544,[1]Sheet1!$B:$B,0), 1)</f>
        <v>Triphenylethylene</v>
      </c>
      <c r="L544" t="str">
        <f>INDEX([1]Sheet1!$A$1:$G$108, MATCH(B544,[1]Sheet1!$B:$B,0), 3)</f>
        <v>weak</v>
      </c>
      <c r="M544" t="s">
        <v>109</v>
      </c>
    </row>
    <row r="545" spans="1:13" x14ac:dyDescent="0.3">
      <c r="A545" t="s">
        <v>72</v>
      </c>
      <c r="B545" t="str">
        <f>_xlfn.TEXTBEFORE(_xlfn.TEXTAFTER(A545,"cas-"),"_")</f>
        <v>58-72-0</v>
      </c>
      <c r="C545" t="s">
        <v>13</v>
      </c>
      <c r="D545" t="s">
        <v>14</v>
      </c>
      <c r="E545" t="s">
        <v>12</v>
      </c>
      <c r="F545">
        <v>-9.42</v>
      </c>
      <c r="G545">
        <v>0.71179999999999999</v>
      </c>
      <c r="H545">
        <v>6.6070000000000002</v>
      </c>
      <c r="I545">
        <v>4.7028625999999996</v>
      </c>
      <c r="K545" t="str">
        <f>INDEX([1]Sheet1!$A$1:$G$108, MATCH(B545,[1]Sheet1!$B:$B,0), 1)</f>
        <v>Triphenylethylene</v>
      </c>
      <c r="L545" t="str">
        <f>INDEX([1]Sheet1!$A$1:$G$108, MATCH(B545,[1]Sheet1!$B:$B,0), 3)</f>
        <v>weak</v>
      </c>
      <c r="M545" t="s">
        <v>109</v>
      </c>
    </row>
    <row r="546" spans="1:13" x14ac:dyDescent="0.3">
      <c r="A546" t="s">
        <v>72</v>
      </c>
      <c r="B546" t="str">
        <f>_xlfn.TEXTBEFORE(_xlfn.TEXTAFTER(A546,"cas-"),"_")</f>
        <v>58-72-0</v>
      </c>
      <c r="C546" t="s">
        <v>26</v>
      </c>
      <c r="D546" t="s">
        <v>14</v>
      </c>
      <c r="E546" t="s">
        <v>12</v>
      </c>
      <c r="F546">
        <v>-9.31</v>
      </c>
      <c r="G546">
        <v>0.79649999999999999</v>
      </c>
      <c r="H546">
        <v>6.72</v>
      </c>
      <c r="I546">
        <v>5.3524799999999999</v>
      </c>
      <c r="K546" t="str">
        <f>INDEX([1]Sheet1!$A$1:$G$108, MATCH(B546,[1]Sheet1!$B:$B,0), 1)</f>
        <v>Triphenylethylene</v>
      </c>
      <c r="L546" t="str">
        <f>INDEX([1]Sheet1!$A$1:$G$108, MATCH(B546,[1]Sheet1!$B:$B,0), 3)</f>
        <v>weak</v>
      </c>
      <c r="M546" t="s">
        <v>109</v>
      </c>
    </row>
    <row r="547" spans="1:13" x14ac:dyDescent="0.3">
      <c r="A547" t="s">
        <v>72</v>
      </c>
      <c r="B547" t="str">
        <f>_xlfn.TEXTBEFORE(_xlfn.TEXTAFTER(A547,"cas-"),"_")</f>
        <v>58-72-0</v>
      </c>
      <c r="C547" t="s">
        <v>10</v>
      </c>
      <c r="D547" t="s">
        <v>11</v>
      </c>
      <c r="E547" t="s">
        <v>12</v>
      </c>
      <c r="F547">
        <v>-9.35</v>
      </c>
      <c r="G547">
        <v>0.84870000000000001</v>
      </c>
      <c r="H547">
        <v>6.7389999999999999</v>
      </c>
      <c r="I547">
        <v>5.7193892999999996</v>
      </c>
      <c r="K547" t="str">
        <f>INDEX([1]Sheet1!$A$1:$G$108, MATCH(B547,[1]Sheet1!$B:$B,0), 1)</f>
        <v>Triphenylethylene</v>
      </c>
      <c r="L547" t="str">
        <f>INDEX([1]Sheet1!$A$1:$G$108, MATCH(B547,[1]Sheet1!$B:$B,0), 3)</f>
        <v>weak</v>
      </c>
      <c r="M547" t="s">
        <v>109</v>
      </c>
    </row>
    <row r="548" spans="1:13" x14ac:dyDescent="0.3">
      <c r="A548" t="s">
        <v>73</v>
      </c>
      <c r="B548" t="str">
        <f>_xlfn.TEXTBEFORE(_xlfn.TEXTAFTER(A548,"cas-"),"_")</f>
        <v>58-89-9</v>
      </c>
      <c r="C548" t="s">
        <v>28</v>
      </c>
      <c r="D548" t="s">
        <v>29</v>
      </c>
      <c r="E548" t="s">
        <v>12</v>
      </c>
      <c r="F548">
        <v>-5.86</v>
      </c>
      <c r="G548">
        <v>0.82310000000000005</v>
      </c>
      <c r="H548">
        <v>6.2590000000000003</v>
      </c>
      <c r="I548">
        <v>5.1517829000000006</v>
      </c>
      <c r="K548" t="str">
        <f>INDEX([1]Sheet1!$A$1:$G$108, MATCH(B548,[1]Sheet1!$B:$B,0), 1)</f>
        <v>Lindane (gama-HCH)</v>
      </c>
      <c r="L548" t="str">
        <f>INDEX([1]Sheet1!$A$1:$G$108, MATCH(B548,[1]Sheet1!$B:$B,0), 3)</f>
        <v>weak</v>
      </c>
      <c r="M548" t="s">
        <v>109</v>
      </c>
    </row>
    <row r="549" spans="1:13" x14ac:dyDescent="0.3">
      <c r="A549" t="s">
        <v>73</v>
      </c>
      <c r="B549" t="str">
        <f>_xlfn.TEXTBEFORE(_xlfn.TEXTAFTER(A549,"cas-"),"_")</f>
        <v>58-89-9</v>
      </c>
      <c r="C549" t="s">
        <v>22</v>
      </c>
      <c r="D549" t="s">
        <v>23</v>
      </c>
      <c r="E549" t="s">
        <v>12</v>
      </c>
      <c r="F549">
        <v>-5.56</v>
      </c>
      <c r="G549">
        <v>0.71060000000000001</v>
      </c>
      <c r="H549">
        <v>6.1619999999999999</v>
      </c>
      <c r="I549">
        <v>4.3787171999999996</v>
      </c>
      <c r="K549" t="str">
        <f>INDEX([1]Sheet1!$A$1:$G$108, MATCH(B549,[1]Sheet1!$B:$B,0), 1)</f>
        <v>Lindane (gama-HCH)</v>
      </c>
      <c r="L549" t="str">
        <f>INDEX([1]Sheet1!$A$1:$G$108, MATCH(B549,[1]Sheet1!$B:$B,0), 3)</f>
        <v>weak</v>
      </c>
      <c r="M549" t="s">
        <v>109</v>
      </c>
    </row>
    <row r="550" spans="1:13" x14ac:dyDescent="0.3">
      <c r="A550" t="s">
        <v>73</v>
      </c>
      <c r="B550" t="str">
        <f>_xlfn.TEXTBEFORE(_xlfn.TEXTAFTER(A550,"cas-"),"_")</f>
        <v>58-89-9</v>
      </c>
      <c r="C550" t="s">
        <v>15</v>
      </c>
      <c r="D550" t="s">
        <v>16</v>
      </c>
      <c r="E550" t="s">
        <v>12</v>
      </c>
      <c r="F550">
        <v>-5.74</v>
      </c>
      <c r="G550">
        <v>0.78569999999999995</v>
      </c>
      <c r="H550">
        <v>6.2549999999999999</v>
      </c>
      <c r="I550">
        <v>4.9145534999999994</v>
      </c>
      <c r="K550" t="str">
        <f>INDEX([1]Sheet1!$A$1:$G$108, MATCH(B550,[1]Sheet1!$B:$B,0), 1)</f>
        <v>Lindane (gama-HCH)</v>
      </c>
      <c r="L550" t="str">
        <f>INDEX([1]Sheet1!$A$1:$G$108, MATCH(B550,[1]Sheet1!$B:$B,0), 3)</f>
        <v>weak</v>
      </c>
      <c r="M550" t="s">
        <v>109</v>
      </c>
    </row>
    <row r="551" spans="1:13" x14ac:dyDescent="0.3">
      <c r="A551" t="s">
        <v>73</v>
      </c>
      <c r="B551" t="str">
        <f>_xlfn.TEXTBEFORE(_xlfn.TEXTAFTER(A551,"cas-"),"_")</f>
        <v>58-89-9</v>
      </c>
      <c r="C551" t="s">
        <v>19</v>
      </c>
      <c r="D551" t="s">
        <v>20</v>
      </c>
      <c r="E551" t="s">
        <v>12</v>
      </c>
      <c r="F551">
        <v>-5.75</v>
      </c>
      <c r="G551">
        <v>0.82520000000000004</v>
      </c>
      <c r="H551">
        <v>6.3209999999999997</v>
      </c>
      <c r="I551">
        <v>5.2160891999999999</v>
      </c>
      <c r="K551" t="str">
        <f>INDEX([1]Sheet1!$A$1:$G$108, MATCH(B551,[1]Sheet1!$B:$B,0), 1)</f>
        <v>Lindane (gama-HCH)</v>
      </c>
      <c r="L551" t="str">
        <f>INDEX([1]Sheet1!$A$1:$G$108, MATCH(B551,[1]Sheet1!$B:$B,0), 3)</f>
        <v>weak</v>
      </c>
      <c r="M551" t="s">
        <v>109</v>
      </c>
    </row>
    <row r="552" spans="1:13" x14ac:dyDescent="0.3">
      <c r="A552" t="s">
        <v>73</v>
      </c>
      <c r="B552" t="str">
        <f>_xlfn.TEXTBEFORE(_xlfn.TEXTAFTER(A552,"cas-"),"_")</f>
        <v>58-89-9</v>
      </c>
      <c r="C552" t="s">
        <v>24</v>
      </c>
      <c r="D552" t="s">
        <v>25</v>
      </c>
      <c r="E552" t="s">
        <v>12</v>
      </c>
      <c r="F552">
        <v>-5.54</v>
      </c>
      <c r="G552">
        <v>0.73670000000000002</v>
      </c>
      <c r="H552">
        <v>6.5129999999999999</v>
      </c>
      <c r="I552">
        <v>4.7981271000000003</v>
      </c>
      <c r="K552" t="str">
        <f>INDEX([1]Sheet1!$A$1:$G$108, MATCH(B552,[1]Sheet1!$B:$B,0), 1)</f>
        <v>Lindane (gama-HCH)</v>
      </c>
      <c r="L552" t="str">
        <f>INDEX([1]Sheet1!$A$1:$G$108, MATCH(B552,[1]Sheet1!$B:$B,0), 3)</f>
        <v>weak</v>
      </c>
      <c r="M552" t="s">
        <v>109</v>
      </c>
    </row>
    <row r="553" spans="1:13" x14ac:dyDescent="0.3">
      <c r="A553" t="s">
        <v>73</v>
      </c>
      <c r="B553" t="str">
        <f>_xlfn.TEXTBEFORE(_xlfn.TEXTAFTER(A553,"cas-"),"_")</f>
        <v>58-89-9</v>
      </c>
      <c r="C553" t="s">
        <v>13</v>
      </c>
      <c r="D553" t="s">
        <v>14</v>
      </c>
      <c r="E553" t="s">
        <v>12</v>
      </c>
      <c r="F553">
        <v>-5.85</v>
      </c>
      <c r="G553">
        <v>0.81259999999999999</v>
      </c>
      <c r="H553">
        <v>6.0720000000000001</v>
      </c>
      <c r="I553">
        <v>4.9341071999999997</v>
      </c>
      <c r="K553" t="str">
        <f>INDEX([1]Sheet1!$A$1:$G$108, MATCH(B553,[1]Sheet1!$B:$B,0), 1)</f>
        <v>Lindane (gama-HCH)</v>
      </c>
      <c r="L553" t="str">
        <f>INDEX([1]Sheet1!$A$1:$G$108, MATCH(B553,[1]Sheet1!$B:$B,0), 3)</f>
        <v>weak</v>
      </c>
      <c r="M553" t="s">
        <v>109</v>
      </c>
    </row>
    <row r="554" spans="1:13" x14ac:dyDescent="0.3">
      <c r="A554" t="s">
        <v>73</v>
      </c>
      <c r="B554" t="str">
        <f>_xlfn.TEXTBEFORE(_xlfn.TEXTAFTER(A554,"cas-"),"_")</f>
        <v>58-89-9</v>
      </c>
      <c r="C554" t="s">
        <v>26</v>
      </c>
      <c r="D554" t="s">
        <v>14</v>
      </c>
      <c r="E554" t="s">
        <v>12</v>
      </c>
      <c r="F554">
        <v>-5.87</v>
      </c>
      <c r="G554">
        <v>0.79100000000000004</v>
      </c>
      <c r="H554">
        <v>6.1040000000000001</v>
      </c>
      <c r="I554">
        <v>4.8282639999999999</v>
      </c>
      <c r="K554" t="str">
        <f>INDEX([1]Sheet1!$A$1:$G$108, MATCH(B554,[1]Sheet1!$B:$B,0), 1)</f>
        <v>Lindane (gama-HCH)</v>
      </c>
      <c r="L554" t="str">
        <f>INDEX([1]Sheet1!$A$1:$G$108, MATCH(B554,[1]Sheet1!$B:$B,0), 3)</f>
        <v>weak</v>
      </c>
      <c r="M554" t="s">
        <v>109</v>
      </c>
    </row>
    <row r="555" spans="1:13" x14ac:dyDescent="0.3">
      <c r="A555" t="s">
        <v>73</v>
      </c>
      <c r="B555" t="str">
        <f>_xlfn.TEXTBEFORE(_xlfn.TEXTAFTER(A555,"cas-"),"_")</f>
        <v>58-89-9</v>
      </c>
      <c r="C555" t="s">
        <v>21</v>
      </c>
      <c r="D555" t="s">
        <v>11</v>
      </c>
      <c r="E555" t="s">
        <v>12</v>
      </c>
      <c r="F555">
        <v>-5.55</v>
      </c>
      <c r="G555">
        <v>0.76549999999999996</v>
      </c>
      <c r="H555">
        <v>6.1150000000000002</v>
      </c>
      <c r="I555">
        <v>4.6810324999999997</v>
      </c>
      <c r="K555" t="str">
        <f>INDEX([1]Sheet1!$A$1:$G$108, MATCH(B555,[1]Sheet1!$B:$B,0), 1)</f>
        <v>Lindane (gama-HCH)</v>
      </c>
      <c r="L555" t="str">
        <f>INDEX([1]Sheet1!$A$1:$G$108, MATCH(B555,[1]Sheet1!$B:$B,0), 3)</f>
        <v>weak</v>
      </c>
      <c r="M555" t="s">
        <v>109</v>
      </c>
    </row>
    <row r="556" spans="1:13" x14ac:dyDescent="0.3">
      <c r="A556" t="s">
        <v>73</v>
      </c>
      <c r="B556" t="str">
        <f>_xlfn.TEXTBEFORE(_xlfn.TEXTAFTER(A556,"cas-"),"_")</f>
        <v>58-89-9</v>
      </c>
      <c r="C556" t="s">
        <v>18</v>
      </c>
      <c r="D556" t="s">
        <v>11</v>
      </c>
      <c r="E556" t="s">
        <v>12</v>
      </c>
      <c r="F556">
        <v>-5.71</v>
      </c>
      <c r="G556">
        <v>0.77039999999999997</v>
      </c>
      <c r="H556">
        <v>6.016</v>
      </c>
      <c r="I556">
        <v>4.6347263999999999</v>
      </c>
      <c r="K556" t="str">
        <f>INDEX([1]Sheet1!$A$1:$G$108, MATCH(B556,[1]Sheet1!$B:$B,0), 1)</f>
        <v>Lindane (gama-HCH)</v>
      </c>
      <c r="L556" t="str">
        <f>INDEX([1]Sheet1!$A$1:$G$108, MATCH(B556,[1]Sheet1!$B:$B,0), 3)</f>
        <v>weak</v>
      </c>
      <c r="M556" t="s">
        <v>109</v>
      </c>
    </row>
    <row r="557" spans="1:13" x14ac:dyDescent="0.3">
      <c r="A557" t="s">
        <v>73</v>
      </c>
      <c r="B557" t="str">
        <f>_xlfn.TEXTBEFORE(_xlfn.TEXTAFTER(A557,"cas-"),"_")</f>
        <v>58-89-9</v>
      </c>
      <c r="C557" t="s">
        <v>27</v>
      </c>
      <c r="D557" t="s">
        <v>11</v>
      </c>
      <c r="E557" t="s">
        <v>12</v>
      </c>
      <c r="F557">
        <v>-5.85</v>
      </c>
      <c r="G557">
        <v>0.68530000000000002</v>
      </c>
      <c r="H557">
        <v>6.1689999999999996</v>
      </c>
      <c r="I557">
        <v>4.2276156999999994</v>
      </c>
      <c r="K557" t="str">
        <f>INDEX([1]Sheet1!$A$1:$G$108, MATCH(B557,[1]Sheet1!$B:$B,0), 1)</f>
        <v>Lindane (gama-HCH)</v>
      </c>
      <c r="L557" t="str">
        <f>INDEX([1]Sheet1!$A$1:$G$108, MATCH(B557,[1]Sheet1!$B:$B,0), 3)</f>
        <v>weak</v>
      </c>
      <c r="M557" t="s">
        <v>109</v>
      </c>
    </row>
    <row r="558" spans="1:13" x14ac:dyDescent="0.3">
      <c r="A558" t="s">
        <v>73</v>
      </c>
      <c r="B558" t="str">
        <f>_xlfn.TEXTBEFORE(_xlfn.TEXTAFTER(A558,"cas-"),"_")</f>
        <v>58-89-9</v>
      </c>
      <c r="C558" t="s">
        <v>30</v>
      </c>
      <c r="D558" t="s">
        <v>31</v>
      </c>
      <c r="E558" t="s">
        <v>12</v>
      </c>
      <c r="F558">
        <v>-5.85</v>
      </c>
      <c r="G558">
        <v>0.82709999999999995</v>
      </c>
      <c r="H558">
        <v>6.3410000000000002</v>
      </c>
      <c r="I558">
        <v>5.2446410999999999</v>
      </c>
      <c r="K558" t="str">
        <f>INDEX([1]Sheet1!$A$1:$G$108, MATCH(B558,[1]Sheet1!$B:$B,0), 1)</f>
        <v>Lindane (gama-HCH)</v>
      </c>
      <c r="L558" t="str">
        <f>INDEX([1]Sheet1!$A$1:$G$108, MATCH(B558,[1]Sheet1!$B:$B,0), 3)</f>
        <v>weak</v>
      </c>
      <c r="M558" t="s">
        <v>109</v>
      </c>
    </row>
    <row r="559" spans="1:13" x14ac:dyDescent="0.3">
      <c r="A559" t="s">
        <v>73</v>
      </c>
      <c r="B559" t="str">
        <f>_xlfn.TEXTBEFORE(_xlfn.TEXTAFTER(A559,"cas-"),"_")</f>
        <v>58-89-9</v>
      </c>
      <c r="C559" t="s">
        <v>10</v>
      </c>
      <c r="D559" t="s">
        <v>11</v>
      </c>
      <c r="E559" t="s">
        <v>12</v>
      </c>
      <c r="F559">
        <v>-5.65</v>
      </c>
      <c r="G559">
        <v>0.79049999999999998</v>
      </c>
      <c r="H559">
        <v>6.29</v>
      </c>
      <c r="I559">
        <v>4.972245</v>
      </c>
      <c r="K559" t="str">
        <f>INDEX([1]Sheet1!$A$1:$G$108, MATCH(B559,[1]Sheet1!$B:$B,0), 1)</f>
        <v>Lindane (gama-HCH)</v>
      </c>
      <c r="L559" t="str">
        <f>INDEX([1]Sheet1!$A$1:$G$108, MATCH(B559,[1]Sheet1!$B:$B,0), 3)</f>
        <v>weak</v>
      </c>
      <c r="M559" t="s">
        <v>109</v>
      </c>
    </row>
    <row r="560" spans="1:13" x14ac:dyDescent="0.3">
      <c r="A560" t="s">
        <v>73</v>
      </c>
      <c r="B560" t="str">
        <f>_xlfn.TEXTBEFORE(_xlfn.TEXTAFTER(A560,"cas-"),"_")</f>
        <v>58-89-9</v>
      </c>
      <c r="C560" t="s">
        <v>17</v>
      </c>
      <c r="D560" t="s">
        <v>11</v>
      </c>
      <c r="E560" t="s">
        <v>12</v>
      </c>
      <c r="F560">
        <v>-5.98</v>
      </c>
      <c r="G560">
        <v>0.70799999999999996</v>
      </c>
      <c r="H560">
        <v>6.1950000000000003</v>
      </c>
      <c r="I560">
        <v>4.3860599999999996</v>
      </c>
      <c r="K560" t="str">
        <f>INDEX([1]Sheet1!$A$1:$G$108, MATCH(B560,[1]Sheet1!$B:$B,0), 1)</f>
        <v>Lindane (gama-HCH)</v>
      </c>
      <c r="L560" t="str">
        <f>INDEX([1]Sheet1!$A$1:$G$108, MATCH(B560,[1]Sheet1!$B:$B,0), 3)</f>
        <v>weak</v>
      </c>
      <c r="M560" t="s">
        <v>109</v>
      </c>
    </row>
    <row r="561" spans="1:13" x14ac:dyDescent="0.3">
      <c r="A561" t="s">
        <v>74</v>
      </c>
      <c r="B561" t="str">
        <f>_xlfn.TEXTBEFORE(_xlfn.TEXTAFTER(A561,"cas-"),"_")</f>
        <v>580-51-8</v>
      </c>
      <c r="C561" t="s">
        <v>13</v>
      </c>
      <c r="D561" t="s">
        <v>14</v>
      </c>
      <c r="E561" t="s">
        <v>12</v>
      </c>
      <c r="F561">
        <v>-6.87</v>
      </c>
      <c r="G561">
        <v>0.82379999999999998</v>
      </c>
      <c r="H561">
        <v>5.3090000000000002</v>
      </c>
      <c r="I561">
        <v>4.3735542000000001</v>
      </c>
      <c r="K561" t="str">
        <f>INDEX([1]Sheet1!$A$1:$G$108, MATCH(B561,[1]Sheet1!$B:$B,0), 1)</f>
        <v>3-Phenylphenol</v>
      </c>
      <c r="L561" t="str">
        <f>INDEX([1]Sheet1!$A$1:$G$108, MATCH(B561,[1]Sheet1!$B:$B,0), 3)</f>
        <v>weak</v>
      </c>
      <c r="M561" t="s">
        <v>109</v>
      </c>
    </row>
    <row r="562" spans="1:13" x14ac:dyDescent="0.3">
      <c r="A562" t="s">
        <v>74</v>
      </c>
      <c r="B562" t="str">
        <f>_xlfn.TEXTBEFORE(_xlfn.TEXTAFTER(A562,"cas-"),"_")</f>
        <v>580-51-8</v>
      </c>
      <c r="C562" t="s">
        <v>28</v>
      </c>
      <c r="D562" t="s">
        <v>29</v>
      </c>
      <c r="E562" t="s">
        <v>12</v>
      </c>
      <c r="F562">
        <v>-7.08</v>
      </c>
      <c r="G562">
        <v>0.83220000000000005</v>
      </c>
      <c r="H562">
        <v>5.4320000000000004</v>
      </c>
      <c r="I562">
        <v>4.5205104000000009</v>
      </c>
      <c r="K562" t="str">
        <f>INDEX([1]Sheet1!$A$1:$G$108, MATCH(B562,[1]Sheet1!$B:$B,0), 1)</f>
        <v>3-Phenylphenol</v>
      </c>
      <c r="L562" t="str">
        <f>INDEX([1]Sheet1!$A$1:$G$108, MATCH(B562,[1]Sheet1!$B:$B,0), 3)</f>
        <v>weak</v>
      </c>
      <c r="M562" t="s">
        <v>109</v>
      </c>
    </row>
    <row r="563" spans="1:13" x14ac:dyDescent="0.3">
      <c r="A563" t="s">
        <v>74</v>
      </c>
      <c r="B563" t="str">
        <f>_xlfn.TEXTBEFORE(_xlfn.TEXTAFTER(A563,"cas-"),"_")</f>
        <v>580-51-8</v>
      </c>
      <c r="C563" t="s">
        <v>30</v>
      </c>
      <c r="D563" t="s">
        <v>31</v>
      </c>
      <c r="E563" t="s">
        <v>12</v>
      </c>
      <c r="F563">
        <v>-7.11</v>
      </c>
      <c r="G563">
        <v>0.85529999999999995</v>
      </c>
      <c r="H563">
        <v>5.7060000000000004</v>
      </c>
      <c r="I563">
        <v>4.8803418000000001</v>
      </c>
      <c r="K563" t="str">
        <f>INDEX([1]Sheet1!$A$1:$G$108, MATCH(B563,[1]Sheet1!$B:$B,0), 1)</f>
        <v>3-Phenylphenol</v>
      </c>
      <c r="L563" t="str">
        <f>INDEX([1]Sheet1!$A$1:$G$108, MATCH(B563,[1]Sheet1!$B:$B,0), 3)</f>
        <v>weak</v>
      </c>
      <c r="M563" t="s">
        <v>109</v>
      </c>
    </row>
    <row r="564" spans="1:13" x14ac:dyDescent="0.3">
      <c r="A564" t="s">
        <v>74</v>
      </c>
      <c r="B564" t="str">
        <f>_xlfn.TEXTBEFORE(_xlfn.TEXTAFTER(A564,"cas-"),"_")</f>
        <v>580-51-8</v>
      </c>
      <c r="C564" t="s">
        <v>26</v>
      </c>
      <c r="D564" t="s">
        <v>14</v>
      </c>
      <c r="E564" t="s">
        <v>12</v>
      </c>
      <c r="F564">
        <v>-8.0399999999999991</v>
      </c>
      <c r="G564">
        <v>0.86680000000000001</v>
      </c>
      <c r="H564">
        <v>5.516</v>
      </c>
      <c r="I564">
        <v>4.7812688000000003</v>
      </c>
      <c r="K564" t="str">
        <f>INDEX([1]Sheet1!$A$1:$G$108, MATCH(B564,[1]Sheet1!$B:$B,0), 1)</f>
        <v>3-Phenylphenol</v>
      </c>
      <c r="L564" t="str">
        <f>INDEX([1]Sheet1!$A$1:$G$108, MATCH(B564,[1]Sheet1!$B:$B,0), 3)</f>
        <v>weak</v>
      </c>
      <c r="M564" t="s">
        <v>109</v>
      </c>
    </row>
    <row r="565" spans="1:13" x14ac:dyDescent="0.3">
      <c r="A565" t="s">
        <v>74</v>
      </c>
      <c r="B565" t="str">
        <f>_xlfn.TEXTBEFORE(_xlfn.TEXTAFTER(A565,"cas-"),"_")</f>
        <v>580-51-8</v>
      </c>
      <c r="C565" t="s">
        <v>21</v>
      </c>
      <c r="D565" t="s">
        <v>11</v>
      </c>
      <c r="E565" t="s">
        <v>12</v>
      </c>
      <c r="F565">
        <v>-7.54</v>
      </c>
      <c r="G565">
        <v>0.85129999999999995</v>
      </c>
      <c r="H565">
        <v>5.0069999999999997</v>
      </c>
      <c r="I565">
        <v>4.2624590999999992</v>
      </c>
      <c r="K565" t="str">
        <f>INDEX([1]Sheet1!$A$1:$G$108, MATCH(B565,[1]Sheet1!$B:$B,0), 1)</f>
        <v>3-Phenylphenol</v>
      </c>
      <c r="L565" t="str">
        <f>INDEX([1]Sheet1!$A$1:$G$108, MATCH(B565,[1]Sheet1!$B:$B,0), 3)</f>
        <v>weak</v>
      </c>
      <c r="M565" t="s">
        <v>109</v>
      </c>
    </row>
    <row r="566" spans="1:13" x14ac:dyDescent="0.3">
      <c r="A566" t="s">
        <v>74</v>
      </c>
      <c r="B566" t="str">
        <f>_xlfn.TEXTBEFORE(_xlfn.TEXTAFTER(A566,"cas-"),"_")</f>
        <v>580-51-8</v>
      </c>
      <c r="C566" t="s">
        <v>18</v>
      </c>
      <c r="D566" t="s">
        <v>11</v>
      </c>
      <c r="E566" t="s">
        <v>12</v>
      </c>
      <c r="F566">
        <v>-7.92</v>
      </c>
      <c r="G566">
        <v>0.88939999999999997</v>
      </c>
      <c r="H566">
        <v>5.47</v>
      </c>
      <c r="I566">
        <v>4.8650179999999992</v>
      </c>
      <c r="K566" t="str">
        <f>INDEX([1]Sheet1!$A$1:$G$108, MATCH(B566,[1]Sheet1!$B:$B,0), 1)</f>
        <v>3-Phenylphenol</v>
      </c>
      <c r="L566" t="str">
        <f>INDEX([1]Sheet1!$A$1:$G$108, MATCH(B566,[1]Sheet1!$B:$B,0), 3)</f>
        <v>weak</v>
      </c>
      <c r="M566" t="s">
        <v>109</v>
      </c>
    </row>
    <row r="567" spans="1:13" x14ac:dyDescent="0.3">
      <c r="A567" t="s">
        <v>74</v>
      </c>
      <c r="B567" t="str">
        <f>_xlfn.TEXTBEFORE(_xlfn.TEXTAFTER(A567,"cas-"),"_")</f>
        <v>580-51-8</v>
      </c>
      <c r="C567" t="s">
        <v>15</v>
      </c>
      <c r="D567" t="s">
        <v>16</v>
      </c>
      <c r="E567" t="s">
        <v>12</v>
      </c>
      <c r="F567">
        <v>-7.37</v>
      </c>
      <c r="G567">
        <v>0.86619999999999997</v>
      </c>
      <c r="H567">
        <v>5.327</v>
      </c>
      <c r="I567">
        <v>4.6142474</v>
      </c>
      <c r="K567" t="str">
        <f>INDEX([1]Sheet1!$A$1:$G$108, MATCH(B567,[1]Sheet1!$B:$B,0), 1)</f>
        <v>3-Phenylphenol</v>
      </c>
      <c r="L567" t="str">
        <f>INDEX([1]Sheet1!$A$1:$G$108, MATCH(B567,[1]Sheet1!$B:$B,0), 3)</f>
        <v>weak</v>
      </c>
      <c r="M567" t="s">
        <v>109</v>
      </c>
    </row>
    <row r="568" spans="1:13" x14ac:dyDescent="0.3">
      <c r="A568" t="s">
        <v>74</v>
      </c>
      <c r="B568" t="str">
        <f>_xlfn.TEXTBEFORE(_xlfn.TEXTAFTER(A568,"cas-"),"_")</f>
        <v>580-51-8</v>
      </c>
      <c r="C568" t="s">
        <v>19</v>
      </c>
      <c r="D568" t="s">
        <v>20</v>
      </c>
      <c r="E568" t="s">
        <v>12</v>
      </c>
      <c r="F568">
        <v>-7.27</v>
      </c>
      <c r="G568">
        <v>0.84179999999999999</v>
      </c>
      <c r="H568">
        <v>5.42</v>
      </c>
      <c r="I568">
        <v>4.5625559999999998</v>
      </c>
      <c r="K568" t="str">
        <f>INDEX([1]Sheet1!$A$1:$G$108, MATCH(B568,[1]Sheet1!$B:$B,0), 1)</f>
        <v>3-Phenylphenol</v>
      </c>
      <c r="L568" t="str">
        <f>INDEX([1]Sheet1!$A$1:$G$108, MATCH(B568,[1]Sheet1!$B:$B,0), 3)</f>
        <v>weak</v>
      </c>
      <c r="M568" t="s">
        <v>109</v>
      </c>
    </row>
    <row r="569" spans="1:13" x14ac:dyDescent="0.3">
      <c r="A569" t="s">
        <v>74</v>
      </c>
      <c r="B569" t="str">
        <f>_xlfn.TEXTBEFORE(_xlfn.TEXTAFTER(A569,"cas-"),"_")</f>
        <v>580-51-8</v>
      </c>
      <c r="C569" t="s">
        <v>17</v>
      </c>
      <c r="D569" t="s">
        <v>11</v>
      </c>
      <c r="E569" t="s">
        <v>12</v>
      </c>
      <c r="F569">
        <v>-8.07</v>
      </c>
      <c r="G569">
        <v>0.86629999999999996</v>
      </c>
      <c r="H569">
        <v>5.0979999999999999</v>
      </c>
      <c r="I569">
        <v>4.4163973999999993</v>
      </c>
      <c r="K569" t="str">
        <f>INDEX([1]Sheet1!$A$1:$G$108, MATCH(B569,[1]Sheet1!$B:$B,0), 1)</f>
        <v>3-Phenylphenol</v>
      </c>
      <c r="L569" t="str">
        <f>INDEX([1]Sheet1!$A$1:$G$108, MATCH(B569,[1]Sheet1!$B:$B,0), 3)</f>
        <v>weak</v>
      </c>
      <c r="M569" t="s">
        <v>109</v>
      </c>
    </row>
    <row r="570" spans="1:13" x14ac:dyDescent="0.3">
      <c r="A570" t="s">
        <v>74</v>
      </c>
      <c r="B570" t="str">
        <f>_xlfn.TEXTBEFORE(_xlfn.TEXTAFTER(A570,"cas-"),"_")</f>
        <v>580-51-8</v>
      </c>
      <c r="C570" t="s">
        <v>24</v>
      </c>
      <c r="D570" t="s">
        <v>25</v>
      </c>
      <c r="E570" t="s">
        <v>12</v>
      </c>
      <c r="F570">
        <v>-7.58</v>
      </c>
      <c r="G570">
        <v>0.83720000000000006</v>
      </c>
      <c r="H570">
        <v>5.2830000000000004</v>
      </c>
      <c r="I570">
        <v>4.4229276000000004</v>
      </c>
      <c r="K570" t="str">
        <f>INDEX([1]Sheet1!$A$1:$G$108, MATCH(B570,[1]Sheet1!$B:$B,0), 1)</f>
        <v>3-Phenylphenol</v>
      </c>
      <c r="L570" t="str">
        <f>INDEX([1]Sheet1!$A$1:$G$108, MATCH(B570,[1]Sheet1!$B:$B,0), 3)</f>
        <v>weak</v>
      </c>
      <c r="M570" t="s">
        <v>109</v>
      </c>
    </row>
    <row r="571" spans="1:13" x14ac:dyDescent="0.3">
      <c r="A571" t="s">
        <v>74</v>
      </c>
      <c r="B571" t="str">
        <f>_xlfn.TEXTBEFORE(_xlfn.TEXTAFTER(A571,"cas-"),"_")</f>
        <v>580-51-8</v>
      </c>
      <c r="C571" t="s">
        <v>22</v>
      </c>
      <c r="D571" t="s">
        <v>23</v>
      </c>
      <c r="E571" t="s">
        <v>12</v>
      </c>
      <c r="F571">
        <v>-7.36</v>
      </c>
      <c r="G571">
        <v>0.86180000000000001</v>
      </c>
      <c r="H571">
        <v>5.54</v>
      </c>
      <c r="I571">
        <v>4.7743720000000014</v>
      </c>
      <c r="K571" t="str">
        <f>INDEX([1]Sheet1!$A$1:$G$108, MATCH(B571,[1]Sheet1!$B:$B,0), 1)</f>
        <v>3-Phenylphenol</v>
      </c>
      <c r="L571" t="str">
        <f>INDEX([1]Sheet1!$A$1:$G$108, MATCH(B571,[1]Sheet1!$B:$B,0), 3)</f>
        <v>weak</v>
      </c>
      <c r="M571" t="s">
        <v>109</v>
      </c>
    </row>
    <row r="572" spans="1:13" x14ac:dyDescent="0.3">
      <c r="A572" t="s">
        <v>74</v>
      </c>
      <c r="B572" t="str">
        <f>_xlfn.TEXTBEFORE(_xlfn.TEXTAFTER(A572,"cas-"),"_")</f>
        <v>580-51-8</v>
      </c>
      <c r="C572" t="s">
        <v>27</v>
      </c>
      <c r="D572" t="s">
        <v>11</v>
      </c>
      <c r="E572" t="s">
        <v>12</v>
      </c>
      <c r="F572">
        <v>-8.25</v>
      </c>
      <c r="G572">
        <v>0.90449999999999997</v>
      </c>
      <c r="H572">
        <v>5.7869999999999999</v>
      </c>
      <c r="I572">
        <v>5.2343415000000002</v>
      </c>
      <c r="K572" t="str">
        <f>INDEX([1]Sheet1!$A$1:$G$108, MATCH(B572,[1]Sheet1!$B:$B,0), 1)</f>
        <v>3-Phenylphenol</v>
      </c>
      <c r="L572" t="str">
        <f>INDEX([1]Sheet1!$A$1:$G$108, MATCH(B572,[1]Sheet1!$B:$B,0), 3)</f>
        <v>weak</v>
      </c>
      <c r="M572" t="s">
        <v>109</v>
      </c>
    </row>
    <row r="573" spans="1:13" x14ac:dyDescent="0.3">
      <c r="A573" t="s">
        <v>74</v>
      </c>
      <c r="B573" t="str">
        <f>_xlfn.TEXTBEFORE(_xlfn.TEXTAFTER(A573,"cas-"),"_")</f>
        <v>580-51-8</v>
      </c>
      <c r="C573" t="s">
        <v>10</v>
      </c>
      <c r="D573" t="s">
        <v>11</v>
      </c>
      <c r="E573" t="s">
        <v>12</v>
      </c>
      <c r="F573">
        <v>-7.8</v>
      </c>
      <c r="G573">
        <v>0.86799999999999999</v>
      </c>
      <c r="H573">
        <v>5.2629999999999999</v>
      </c>
      <c r="I573">
        <v>4.5682840000000002</v>
      </c>
      <c r="K573" t="str">
        <f>INDEX([1]Sheet1!$A$1:$G$108, MATCH(B573,[1]Sheet1!$B:$B,0), 1)</f>
        <v>3-Phenylphenol</v>
      </c>
      <c r="L573" t="str">
        <f>INDEX([1]Sheet1!$A$1:$G$108, MATCH(B573,[1]Sheet1!$B:$B,0), 3)</f>
        <v>weak</v>
      </c>
      <c r="M573" t="s">
        <v>109</v>
      </c>
    </row>
    <row r="574" spans="1:13" x14ac:dyDescent="0.3">
      <c r="A574" t="s">
        <v>75</v>
      </c>
      <c r="B574" t="str">
        <f>_xlfn.TEXTBEFORE(_xlfn.TEXTAFTER(A574,"cas-"),"_")</f>
        <v>599-64-4</v>
      </c>
      <c r="C574" t="s">
        <v>30</v>
      </c>
      <c r="D574" t="s">
        <v>31</v>
      </c>
      <c r="E574" t="s">
        <v>12</v>
      </c>
      <c r="F574">
        <v>-8.4499999999999993</v>
      </c>
      <c r="G574">
        <v>0.96779999999999999</v>
      </c>
      <c r="H574">
        <v>7.0750000000000002</v>
      </c>
      <c r="I574">
        <v>6.8471850000000014</v>
      </c>
      <c r="K574" t="str">
        <f>INDEX([1]Sheet1!$A$1:$G$108, MATCH(B574,[1]Sheet1!$B:$B,0), 1)</f>
        <v>p-Cumyl phenol</v>
      </c>
      <c r="L574" t="str">
        <f>INDEX([1]Sheet1!$A$1:$G$108, MATCH(B574,[1]Sheet1!$B:$B,0), 3)</f>
        <v>weak</v>
      </c>
      <c r="M574" t="s">
        <v>109</v>
      </c>
    </row>
    <row r="575" spans="1:13" x14ac:dyDescent="0.3">
      <c r="A575" t="s">
        <v>75</v>
      </c>
      <c r="B575" t="str">
        <f>_xlfn.TEXTBEFORE(_xlfn.TEXTAFTER(A575,"cas-"),"_")</f>
        <v>599-64-4</v>
      </c>
      <c r="C575" t="s">
        <v>21</v>
      </c>
      <c r="D575" t="s">
        <v>11</v>
      </c>
      <c r="E575" t="s">
        <v>12</v>
      </c>
      <c r="F575">
        <v>-8.75</v>
      </c>
      <c r="G575">
        <v>0.9294</v>
      </c>
      <c r="H575">
        <v>6.6040000000000001</v>
      </c>
      <c r="I575">
        <v>6.1377575999999996</v>
      </c>
      <c r="K575" t="str">
        <f>INDEX([1]Sheet1!$A$1:$G$108, MATCH(B575,[1]Sheet1!$B:$B,0), 1)</f>
        <v>p-Cumyl phenol</v>
      </c>
      <c r="L575" t="str">
        <f>INDEX([1]Sheet1!$A$1:$G$108, MATCH(B575,[1]Sheet1!$B:$B,0), 3)</f>
        <v>weak</v>
      </c>
      <c r="M575" t="s">
        <v>109</v>
      </c>
    </row>
    <row r="576" spans="1:13" x14ac:dyDescent="0.3">
      <c r="A576" t="s">
        <v>75</v>
      </c>
      <c r="B576" t="str">
        <f>_xlfn.TEXTBEFORE(_xlfn.TEXTAFTER(A576,"cas-"),"_")</f>
        <v>599-64-4</v>
      </c>
      <c r="C576" t="s">
        <v>13</v>
      </c>
      <c r="D576" t="s">
        <v>14</v>
      </c>
      <c r="E576" t="s">
        <v>12</v>
      </c>
      <c r="F576">
        <v>-8.99</v>
      </c>
      <c r="G576">
        <v>0.94730000000000003</v>
      </c>
      <c r="H576">
        <v>6.8460000000000001</v>
      </c>
      <c r="I576">
        <v>6.4852158000000006</v>
      </c>
      <c r="K576" t="str">
        <f>INDEX([1]Sheet1!$A$1:$G$108, MATCH(B576,[1]Sheet1!$B:$B,0), 1)</f>
        <v>p-Cumyl phenol</v>
      </c>
      <c r="L576" t="str">
        <f>INDEX([1]Sheet1!$A$1:$G$108, MATCH(B576,[1]Sheet1!$B:$B,0), 3)</f>
        <v>weak</v>
      </c>
      <c r="M576" t="s">
        <v>109</v>
      </c>
    </row>
    <row r="577" spans="1:13" x14ac:dyDescent="0.3">
      <c r="A577" t="s">
        <v>75</v>
      </c>
      <c r="B577" t="str">
        <f>_xlfn.TEXTBEFORE(_xlfn.TEXTAFTER(A577,"cas-"),"_")</f>
        <v>599-64-4</v>
      </c>
      <c r="C577" t="s">
        <v>26</v>
      </c>
      <c r="D577" t="s">
        <v>14</v>
      </c>
      <c r="E577" t="s">
        <v>12</v>
      </c>
      <c r="F577">
        <v>-8.6</v>
      </c>
      <c r="G577">
        <v>0.9516</v>
      </c>
      <c r="H577">
        <v>7.1639999999999997</v>
      </c>
      <c r="I577">
        <v>6.8172623999999997</v>
      </c>
      <c r="K577" t="str">
        <f>INDEX([1]Sheet1!$A$1:$G$108, MATCH(B577,[1]Sheet1!$B:$B,0), 1)</f>
        <v>p-Cumyl phenol</v>
      </c>
      <c r="L577" t="str">
        <f>INDEX([1]Sheet1!$A$1:$G$108, MATCH(B577,[1]Sheet1!$B:$B,0), 3)</f>
        <v>weak</v>
      </c>
      <c r="M577" t="s">
        <v>109</v>
      </c>
    </row>
    <row r="578" spans="1:13" x14ac:dyDescent="0.3">
      <c r="A578" t="s">
        <v>75</v>
      </c>
      <c r="B578" t="str">
        <f>_xlfn.TEXTBEFORE(_xlfn.TEXTAFTER(A578,"cas-"),"_")</f>
        <v>599-64-4</v>
      </c>
      <c r="C578" t="s">
        <v>19</v>
      </c>
      <c r="D578" t="s">
        <v>20</v>
      </c>
      <c r="E578" t="s">
        <v>12</v>
      </c>
      <c r="F578">
        <v>-8.77</v>
      </c>
      <c r="G578">
        <v>0.89980000000000004</v>
      </c>
      <c r="H578">
        <v>6.8689999999999998</v>
      </c>
      <c r="I578">
        <v>6.1807262000000014</v>
      </c>
      <c r="K578" t="str">
        <f>INDEX([1]Sheet1!$A$1:$G$108, MATCH(B578,[1]Sheet1!$B:$B,0), 1)</f>
        <v>p-Cumyl phenol</v>
      </c>
      <c r="L578" t="str">
        <f>INDEX([1]Sheet1!$A$1:$G$108, MATCH(B578,[1]Sheet1!$B:$B,0), 3)</f>
        <v>weak</v>
      </c>
      <c r="M578" t="s">
        <v>109</v>
      </c>
    </row>
    <row r="579" spans="1:13" x14ac:dyDescent="0.3">
      <c r="A579" t="s">
        <v>75</v>
      </c>
      <c r="B579" t="str">
        <f>_xlfn.TEXTBEFORE(_xlfn.TEXTAFTER(A579,"cas-"),"_")</f>
        <v>599-64-4</v>
      </c>
      <c r="C579" t="s">
        <v>24</v>
      </c>
      <c r="D579" t="s">
        <v>25</v>
      </c>
      <c r="E579" t="s">
        <v>12</v>
      </c>
      <c r="F579">
        <v>-8.7200000000000006</v>
      </c>
      <c r="G579">
        <v>0.87180000000000002</v>
      </c>
      <c r="H579">
        <v>6.8410000000000002</v>
      </c>
      <c r="I579">
        <v>5.9639838000000003</v>
      </c>
      <c r="K579" t="str">
        <f>INDEX([1]Sheet1!$A$1:$G$108, MATCH(B579,[1]Sheet1!$B:$B,0), 1)</f>
        <v>p-Cumyl phenol</v>
      </c>
      <c r="L579" t="str">
        <f>INDEX([1]Sheet1!$A$1:$G$108, MATCH(B579,[1]Sheet1!$B:$B,0), 3)</f>
        <v>weak</v>
      </c>
      <c r="M579" t="s">
        <v>109</v>
      </c>
    </row>
    <row r="580" spans="1:13" x14ac:dyDescent="0.3">
      <c r="A580" t="s">
        <v>75</v>
      </c>
      <c r="B580" t="str">
        <f>_xlfn.TEXTBEFORE(_xlfn.TEXTAFTER(A580,"cas-"),"_")</f>
        <v>599-64-4</v>
      </c>
      <c r="C580" t="s">
        <v>15</v>
      </c>
      <c r="D580" t="s">
        <v>16</v>
      </c>
      <c r="E580" t="s">
        <v>12</v>
      </c>
      <c r="F580">
        <v>-8.52</v>
      </c>
      <c r="G580">
        <v>0.90039999999999998</v>
      </c>
      <c r="H580">
        <v>6.556</v>
      </c>
      <c r="I580">
        <v>5.9030224000000002</v>
      </c>
      <c r="K580" t="str">
        <f>INDEX([1]Sheet1!$A$1:$G$108, MATCH(B580,[1]Sheet1!$B:$B,0), 1)</f>
        <v>p-Cumyl phenol</v>
      </c>
      <c r="L580" t="str">
        <f>INDEX([1]Sheet1!$A$1:$G$108, MATCH(B580,[1]Sheet1!$B:$B,0), 3)</f>
        <v>weak</v>
      </c>
      <c r="M580" t="s">
        <v>109</v>
      </c>
    </row>
    <row r="581" spans="1:13" x14ac:dyDescent="0.3">
      <c r="A581" t="s">
        <v>75</v>
      </c>
      <c r="B581" t="str">
        <f>_xlfn.TEXTBEFORE(_xlfn.TEXTAFTER(A581,"cas-"),"_")</f>
        <v>599-64-4</v>
      </c>
      <c r="C581" t="s">
        <v>22</v>
      </c>
      <c r="D581" t="s">
        <v>23</v>
      </c>
      <c r="E581" t="s">
        <v>12</v>
      </c>
      <c r="F581">
        <v>-8.2799999999999994</v>
      </c>
      <c r="G581">
        <v>0.91720000000000002</v>
      </c>
      <c r="H581">
        <v>6.74</v>
      </c>
      <c r="I581">
        <v>6.1819280000000001</v>
      </c>
      <c r="K581" t="str">
        <f>INDEX([1]Sheet1!$A$1:$G$108, MATCH(B581,[1]Sheet1!$B:$B,0), 1)</f>
        <v>p-Cumyl phenol</v>
      </c>
      <c r="L581" t="str">
        <f>INDEX([1]Sheet1!$A$1:$G$108, MATCH(B581,[1]Sheet1!$B:$B,0), 3)</f>
        <v>weak</v>
      </c>
      <c r="M581" t="s">
        <v>109</v>
      </c>
    </row>
    <row r="582" spans="1:13" x14ac:dyDescent="0.3">
      <c r="A582" t="s">
        <v>75</v>
      </c>
      <c r="B582" t="str">
        <f>_xlfn.TEXTBEFORE(_xlfn.TEXTAFTER(A582,"cas-"),"_")</f>
        <v>599-64-4</v>
      </c>
      <c r="C582" t="s">
        <v>10</v>
      </c>
      <c r="D582" t="s">
        <v>11</v>
      </c>
      <c r="E582" t="s">
        <v>12</v>
      </c>
      <c r="F582">
        <v>-8.6199999999999992</v>
      </c>
      <c r="G582">
        <v>0.92300000000000004</v>
      </c>
      <c r="H582">
        <v>6.7610000000000001</v>
      </c>
      <c r="I582">
        <v>6.2404030000000006</v>
      </c>
      <c r="K582" t="str">
        <f>INDEX([1]Sheet1!$A$1:$G$108, MATCH(B582,[1]Sheet1!$B:$B,0), 1)</f>
        <v>p-Cumyl phenol</v>
      </c>
      <c r="L582" t="str">
        <f>INDEX([1]Sheet1!$A$1:$G$108, MATCH(B582,[1]Sheet1!$B:$B,0), 3)</f>
        <v>weak</v>
      </c>
      <c r="M582" t="s">
        <v>109</v>
      </c>
    </row>
    <row r="583" spans="1:13" x14ac:dyDescent="0.3">
      <c r="A583" t="s">
        <v>75</v>
      </c>
      <c r="B583" t="str">
        <f>_xlfn.TEXTBEFORE(_xlfn.TEXTAFTER(A583,"cas-"),"_")</f>
        <v>599-64-4</v>
      </c>
      <c r="C583" t="s">
        <v>17</v>
      </c>
      <c r="D583" t="s">
        <v>11</v>
      </c>
      <c r="E583" t="s">
        <v>12</v>
      </c>
      <c r="F583">
        <v>-8.39</v>
      </c>
      <c r="G583">
        <v>0.93740000000000001</v>
      </c>
      <c r="H583">
        <v>6.9809999999999999</v>
      </c>
      <c r="I583">
        <v>6.5439894000000001</v>
      </c>
      <c r="K583" t="str">
        <f>INDEX([1]Sheet1!$A$1:$G$108, MATCH(B583,[1]Sheet1!$B:$B,0), 1)</f>
        <v>p-Cumyl phenol</v>
      </c>
      <c r="L583" t="str">
        <f>INDEX([1]Sheet1!$A$1:$G$108, MATCH(B583,[1]Sheet1!$B:$B,0), 3)</f>
        <v>weak</v>
      </c>
      <c r="M583" t="s">
        <v>109</v>
      </c>
    </row>
    <row r="584" spans="1:13" x14ac:dyDescent="0.3">
      <c r="A584" t="s">
        <v>75</v>
      </c>
      <c r="B584" t="str">
        <f>_xlfn.TEXTBEFORE(_xlfn.TEXTAFTER(A584,"cas-"),"_")</f>
        <v>599-64-4</v>
      </c>
      <c r="C584" t="s">
        <v>28</v>
      </c>
      <c r="D584" t="s">
        <v>29</v>
      </c>
      <c r="E584" t="s">
        <v>12</v>
      </c>
      <c r="F584">
        <v>-8.14</v>
      </c>
      <c r="G584">
        <v>0.96060000000000001</v>
      </c>
      <c r="H584">
        <v>7.0750000000000002</v>
      </c>
      <c r="I584">
        <v>6.7962449999999999</v>
      </c>
      <c r="K584" t="str">
        <f>INDEX([1]Sheet1!$A$1:$G$108, MATCH(B584,[1]Sheet1!$B:$B,0), 1)</f>
        <v>p-Cumyl phenol</v>
      </c>
      <c r="L584" t="str">
        <f>INDEX([1]Sheet1!$A$1:$G$108, MATCH(B584,[1]Sheet1!$B:$B,0), 3)</f>
        <v>weak</v>
      </c>
      <c r="M584" t="s">
        <v>109</v>
      </c>
    </row>
    <row r="585" spans="1:13" x14ac:dyDescent="0.3">
      <c r="A585" t="s">
        <v>75</v>
      </c>
      <c r="B585" t="str">
        <f>_xlfn.TEXTBEFORE(_xlfn.TEXTAFTER(A585,"cas-"),"_")</f>
        <v>599-64-4</v>
      </c>
      <c r="C585" t="s">
        <v>27</v>
      </c>
      <c r="D585" t="s">
        <v>11</v>
      </c>
      <c r="E585" t="s">
        <v>12</v>
      </c>
      <c r="F585">
        <v>-8.8000000000000007</v>
      </c>
      <c r="G585">
        <v>0.92800000000000005</v>
      </c>
      <c r="H585">
        <v>6.968</v>
      </c>
      <c r="I585">
        <v>6.4663040000000001</v>
      </c>
      <c r="K585" t="str">
        <f>INDEX([1]Sheet1!$A$1:$G$108, MATCH(B585,[1]Sheet1!$B:$B,0), 1)</f>
        <v>p-Cumyl phenol</v>
      </c>
      <c r="L585" t="str">
        <f>INDEX([1]Sheet1!$A$1:$G$108, MATCH(B585,[1]Sheet1!$B:$B,0), 3)</f>
        <v>weak</v>
      </c>
      <c r="M585" t="s">
        <v>109</v>
      </c>
    </row>
    <row r="586" spans="1:13" x14ac:dyDescent="0.3">
      <c r="A586" t="s">
        <v>75</v>
      </c>
      <c r="B586" t="str">
        <f>_xlfn.TEXTBEFORE(_xlfn.TEXTAFTER(A586,"cas-"),"_")</f>
        <v>599-64-4</v>
      </c>
      <c r="C586" t="s">
        <v>18</v>
      </c>
      <c r="D586" t="s">
        <v>11</v>
      </c>
      <c r="E586" t="s">
        <v>12</v>
      </c>
      <c r="F586">
        <v>-8.59</v>
      </c>
      <c r="G586">
        <v>0.90259999999999996</v>
      </c>
      <c r="H586">
        <v>6.8449999999999998</v>
      </c>
      <c r="I586">
        <v>6.1782969999999997</v>
      </c>
      <c r="K586" t="str">
        <f>INDEX([1]Sheet1!$A$1:$G$108, MATCH(B586,[1]Sheet1!$B:$B,0), 1)</f>
        <v>p-Cumyl phenol</v>
      </c>
      <c r="L586" t="str">
        <f>INDEX([1]Sheet1!$A$1:$G$108, MATCH(B586,[1]Sheet1!$B:$B,0), 3)</f>
        <v>weak</v>
      </c>
      <c r="M586" t="s">
        <v>109</v>
      </c>
    </row>
    <row r="587" spans="1:13" x14ac:dyDescent="0.3">
      <c r="A587" t="s">
        <v>76</v>
      </c>
      <c r="B587" t="str">
        <f>_xlfn.TEXTBEFORE(_xlfn.TEXTAFTER(A587,"cas-"),"_")</f>
        <v>60-57-1</v>
      </c>
      <c r="C587" t="s">
        <v>18</v>
      </c>
      <c r="D587" t="s">
        <v>11</v>
      </c>
      <c r="E587" t="s">
        <v>12</v>
      </c>
      <c r="F587">
        <v>-7.07</v>
      </c>
      <c r="G587">
        <v>0.69440000000000002</v>
      </c>
      <c r="H587">
        <v>7.6970000000000001</v>
      </c>
      <c r="I587">
        <v>5.3447968000000001</v>
      </c>
      <c r="K587" t="str">
        <f>INDEX([1]Sheet1!$A$1:$G$108, MATCH(B587,[1]Sheet1!$B:$B,0), 1)</f>
        <v>Dieldrin</v>
      </c>
      <c r="L587" t="str">
        <f>INDEX([1]Sheet1!$A$1:$G$108, MATCH(B587,[1]Sheet1!$B:$B,0), 3)</f>
        <v>weak</v>
      </c>
      <c r="M587" t="s">
        <v>109</v>
      </c>
    </row>
    <row r="588" spans="1:13" x14ac:dyDescent="0.3">
      <c r="A588" t="s">
        <v>76</v>
      </c>
      <c r="B588" t="str">
        <f>_xlfn.TEXTBEFORE(_xlfn.TEXTAFTER(A588,"cas-"),"_")</f>
        <v>60-57-1</v>
      </c>
      <c r="C588" t="s">
        <v>30</v>
      </c>
      <c r="D588" t="s">
        <v>31</v>
      </c>
      <c r="E588" t="s">
        <v>12</v>
      </c>
      <c r="F588">
        <v>-7.39</v>
      </c>
      <c r="G588">
        <v>0.80200000000000005</v>
      </c>
      <c r="H588">
        <v>8.1289999999999996</v>
      </c>
      <c r="I588">
        <v>6.5194580000000002</v>
      </c>
      <c r="K588" t="str">
        <f>INDEX([1]Sheet1!$A$1:$G$108, MATCH(B588,[1]Sheet1!$B:$B,0), 1)</f>
        <v>Dieldrin</v>
      </c>
      <c r="L588" t="str">
        <f>INDEX([1]Sheet1!$A$1:$G$108, MATCH(B588,[1]Sheet1!$B:$B,0), 3)</f>
        <v>weak</v>
      </c>
      <c r="M588" t="s">
        <v>109</v>
      </c>
    </row>
    <row r="589" spans="1:13" x14ac:dyDescent="0.3">
      <c r="A589" t="s">
        <v>76</v>
      </c>
      <c r="B589" t="str">
        <f>_xlfn.TEXTBEFORE(_xlfn.TEXTAFTER(A589,"cas-"),"_")</f>
        <v>60-57-1</v>
      </c>
      <c r="C589" t="s">
        <v>26</v>
      </c>
      <c r="D589" t="s">
        <v>14</v>
      </c>
      <c r="E589" t="s">
        <v>12</v>
      </c>
      <c r="F589">
        <v>-5.81</v>
      </c>
      <c r="G589">
        <v>0.61429999999999996</v>
      </c>
      <c r="H589">
        <v>7.4909999999999997</v>
      </c>
      <c r="I589">
        <v>4.6017212999999986</v>
      </c>
      <c r="K589" t="str">
        <f>INDEX([1]Sheet1!$A$1:$G$108, MATCH(B589,[1]Sheet1!$B:$B,0), 1)</f>
        <v>Dieldrin</v>
      </c>
      <c r="L589" t="str">
        <f>INDEX([1]Sheet1!$A$1:$G$108, MATCH(B589,[1]Sheet1!$B:$B,0), 3)</f>
        <v>weak</v>
      </c>
      <c r="M589" t="s">
        <v>109</v>
      </c>
    </row>
    <row r="590" spans="1:13" x14ac:dyDescent="0.3">
      <c r="A590" t="s">
        <v>76</v>
      </c>
      <c r="B590" t="str">
        <f>_xlfn.TEXTBEFORE(_xlfn.TEXTAFTER(A590,"cas-"),"_")</f>
        <v>60-57-1</v>
      </c>
      <c r="C590" t="s">
        <v>28</v>
      </c>
      <c r="D590" t="s">
        <v>29</v>
      </c>
      <c r="E590" t="s">
        <v>12</v>
      </c>
      <c r="F590">
        <v>-7.95</v>
      </c>
      <c r="G590">
        <v>0.74299999999999999</v>
      </c>
      <c r="H590">
        <v>8.0289999999999999</v>
      </c>
      <c r="I590">
        <v>5.9655469999999999</v>
      </c>
      <c r="K590" t="str">
        <f>INDEX([1]Sheet1!$A$1:$G$108, MATCH(B590,[1]Sheet1!$B:$B,0), 1)</f>
        <v>Dieldrin</v>
      </c>
      <c r="L590" t="str">
        <f>INDEX([1]Sheet1!$A$1:$G$108, MATCH(B590,[1]Sheet1!$B:$B,0), 3)</f>
        <v>weak</v>
      </c>
      <c r="M590" t="s">
        <v>109</v>
      </c>
    </row>
    <row r="591" spans="1:13" x14ac:dyDescent="0.3">
      <c r="A591" t="s">
        <v>76</v>
      </c>
      <c r="B591" t="str">
        <f>_xlfn.TEXTBEFORE(_xlfn.TEXTAFTER(A591,"cas-"),"_")</f>
        <v>60-57-1</v>
      </c>
      <c r="C591" t="s">
        <v>19</v>
      </c>
      <c r="D591" t="s">
        <v>20</v>
      </c>
      <c r="E591" t="s">
        <v>12</v>
      </c>
      <c r="F591">
        <v>-7.14</v>
      </c>
      <c r="G591">
        <v>0.58979999999999999</v>
      </c>
      <c r="H591">
        <v>7.508</v>
      </c>
      <c r="I591">
        <v>4.4282184000000004</v>
      </c>
      <c r="K591" t="str">
        <f>INDEX([1]Sheet1!$A$1:$G$108, MATCH(B591,[1]Sheet1!$B:$B,0), 1)</f>
        <v>Dieldrin</v>
      </c>
      <c r="L591" t="str">
        <f>INDEX([1]Sheet1!$A$1:$G$108, MATCH(B591,[1]Sheet1!$B:$B,0), 3)</f>
        <v>weak</v>
      </c>
      <c r="M591" t="s">
        <v>109</v>
      </c>
    </row>
    <row r="592" spans="1:13" x14ac:dyDescent="0.3">
      <c r="A592" t="s">
        <v>76</v>
      </c>
      <c r="B592" t="str">
        <f>_xlfn.TEXTBEFORE(_xlfn.TEXTAFTER(A592,"cas-"),"_")</f>
        <v>60-57-1</v>
      </c>
      <c r="C592" t="s">
        <v>10</v>
      </c>
      <c r="D592" t="s">
        <v>11</v>
      </c>
      <c r="E592" t="s">
        <v>12</v>
      </c>
      <c r="F592">
        <v>-7.52</v>
      </c>
      <c r="G592">
        <v>0.72089999999999999</v>
      </c>
      <c r="H592">
        <v>7.8920000000000003</v>
      </c>
      <c r="I592">
        <v>5.6893428000000004</v>
      </c>
      <c r="K592" t="str">
        <f>INDEX([1]Sheet1!$A$1:$G$108, MATCH(B592,[1]Sheet1!$B:$B,0), 1)</f>
        <v>Dieldrin</v>
      </c>
      <c r="L592" t="str">
        <f>INDEX([1]Sheet1!$A$1:$G$108, MATCH(B592,[1]Sheet1!$B:$B,0), 3)</f>
        <v>weak</v>
      </c>
      <c r="M592" t="s">
        <v>109</v>
      </c>
    </row>
    <row r="593" spans="1:13" x14ac:dyDescent="0.3">
      <c r="A593" t="s">
        <v>76</v>
      </c>
      <c r="B593" t="str">
        <f>_xlfn.TEXTBEFORE(_xlfn.TEXTAFTER(A593,"cas-"),"_")</f>
        <v>60-57-1</v>
      </c>
      <c r="C593" t="s">
        <v>24</v>
      </c>
      <c r="D593" t="s">
        <v>25</v>
      </c>
      <c r="E593" t="s">
        <v>12</v>
      </c>
      <c r="F593">
        <v>-7.14</v>
      </c>
      <c r="G593">
        <v>0.69899999999999995</v>
      </c>
      <c r="H593">
        <v>7.7210000000000001</v>
      </c>
      <c r="I593">
        <v>5.396979</v>
      </c>
      <c r="K593" t="str">
        <f>INDEX([1]Sheet1!$A$1:$G$108, MATCH(B593,[1]Sheet1!$B:$B,0), 1)</f>
        <v>Dieldrin</v>
      </c>
      <c r="L593" t="str">
        <f>INDEX([1]Sheet1!$A$1:$G$108, MATCH(B593,[1]Sheet1!$B:$B,0), 3)</f>
        <v>weak</v>
      </c>
      <c r="M593" t="s">
        <v>109</v>
      </c>
    </row>
    <row r="594" spans="1:13" x14ac:dyDescent="0.3">
      <c r="A594" t="s">
        <v>76</v>
      </c>
      <c r="B594" t="str">
        <f>_xlfn.TEXTBEFORE(_xlfn.TEXTAFTER(A594,"cas-"),"_")</f>
        <v>60-57-1</v>
      </c>
      <c r="C594" t="s">
        <v>13</v>
      </c>
      <c r="D594" t="s">
        <v>14</v>
      </c>
      <c r="E594" t="s">
        <v>12</v>
      </c>
      <c r="F594">
        <v>-4.84</v>
      </c>
      <c r="G594">
        <v>0.67420000000000002</v>
      </c>
      <c r="H594">
        <v>7.33</v>
      </c>
      <c r="I594">
        <v>4.9418860000000002</v>
      </c>
      <c r="K594" t="str">
        <f>INDEX([1]Sheet1!$A$1:$G$108, MATCH(B594,[1]Sheet1!$B:$B,0), 1)</f>
        <v>Dieldrin</v>
      </c>
      <c r="L594" t="str">
        <f>INDEX([1]Sheet1!$A$1:$G$108, MATCH(B594,[1]Sheet1!$B:$B,0), 3)</f>
        <v>weak</v>
      </c>
      <c r="M594" t="s">
        <v>109</v>
      </c>
    </row>
    <row r="595" spans="1:13" x14ac:dyDescent="0.3">
      <c r="A595" t="s">
        <v>76</v>
      </c>
      <c r="B595" t="str">
        <f>_xlfn.TEXTBEFORE(_xlfn.TEXTAFTER(A595,"cas-"),"_")</f>
        <v>60-57-1</v>
      </c>
      <c r="C595" t="s">
        <v>21</v>
      </c>
      <c r="D595" t="s">
        <v>11</v>
      </c>
      <c r="E595" t="s">
        <v>12</v>
      </c>
      <c r="F595">
        <v>-6.97</v>
      </c>
      <c r="G595">
        <v>0.57520000000000004</v>
      </c>
      <c r="H595">
        <v>7.6319999999999997</v>
      </c>
      <c r="I595">
        <v>4.3899264000000002</v>
      </c>
      <c r="K595" t="str">
        <f>INDEX([1]Sheet1!$A$1:$G$108, MATCH(B595,[1]Sheet1!$B:$B,0), 1)</f>
        <v>Dieldrin</v>
      </c>
      <c r="L595" t="str">
        <f>INDEX([1]Sheet1!$A$1:$G$108, MATCH(B595,[1]Sheet1!$B:$B,0), 3)</f>
        <v>weak</v>
      </c>
      <c r="M595" t="s">
        <v>109</v>
      </c>
    </row>
    <row r="596" spans="1:13" x14ac:dyDescent="0.3">
      <c r="A596" t="s">
        <v>76</v>
      </c>
      <c r="B596" t="str">
        <f>_xlfn.TEXTBEFORE(_xlfn.TEXTAFTER(A596,"cas-"),"_")</f>
        <v>60-57-1</v>
      </c>
      <c r="C596" t="s">
        <v>27</v>
      </c>
      <c r="D596" t="s">
        <v>11</v>
      </c>
      <c r="E596" t="s">
        <v>12</v>
      </c>
      <c r="F596">
        <v>-8.77</v>
      </c>
      <c r="G596">
        <v>0.88980000000000004</v>
      </c>
      <c r="H596">
        <v>7.9829999999999997</v>
      </c>
      <c r="I596">
        <v>7.1032734</v>
      </c>
      <c r="K596" t="str">
        <f>INDEX([1]Sheet1!$A$1:$G$108, MATCH(B596,[1]Sheet1!$B:$B,0), 1)</f>
        <v>Dieldrin</v>
      </c>
      <c r="L596" t="str">
        <f>INDEX([1]Sheet1!$A$1:$G$108, MATCH(B596,[1]Sheet1!$B:$B,0), 3)</f>
        <v>weak</v>
      </c>
      <c r="M596" t="s">
        <v>109</v>
      </c>
    </row>
    <row r="597" spans="1:13" x14ac:dyDescent="0.3">
      <c r="A597" t="s">
        <v>76</v>
      </c>
      <c r="B597" t="str">
        <f>_xlfn.TEXTBEFORE(_xlfn.TEXTAFTER(A597,"cas-"),"_")</f>
        <v>60-57-1</v>
      </c>
      <c r="C597" t="s">
        <v>15</v>
      </c>
      <c r="D597" t="s">
        <v>16</v>
      </c>
      <c r="E597" t="s">
        <v>12</v>
      </c>
      <c r="F597">
        <v>-6.78</v>
      </c>
      <c r="G597">
        <v>0.67049999999999998</v>
      </c>
      <c r="H597">
        <v>7.8049999999999997</v>
      </c>
      <c r="I597">
        <v>5.2332524999999999</v>
      </c>
      <c r="K597" t="str">
        <f>INDEX([1]Sheet1!$A$1:$G$108, MATCH(B597,[1]Sheet1!$B:$B,0), 1)</f>
        <v>Dieldrin</v>
      </c>
      <c r="L597" t="str">
        <f>INDEX([1]Sheet1!$A$1:$G$108, MATCH(B597,[1]Sheet1!$B:$B,0), 3)</f>
        <v>weak</v>
      </c>
      <c r="M597" t="s">
        <v>109</v>
      </c>
    </row>
    <row r="598" spans="1:13" x14ac:dyDescent="0.3">
      <c r="A598" t="s">
        <v>76</v>
      </c>
      <c r="B598" t="str">
        <f>_xlfn.TEXTBEFORE(_xlfn.TEXTAFTER(A598,"cas-"),"_")</f>
        <v>60-57-1</v>
      </c>
      <c r="C598" t="s">
        <v>22</v>
      </c>
      <c r="D598" t="s">
        <v>23</v>
      </c>
      <c r="E598" t="s">
        <v>12</v>
      </c>
      <c r="F598">
        <v>-7</v>
      </c>
      <c r="G598">
        <v>0.68459999999999999</v>
      </c>
      <c r="H598">
        <v>7.8810000000000002</v>
      </c>
      <c r="I598">
        <v>5.3953325999999997</v>
      </c>
      <c r="K598" t="str">
        <f>INDEX([1]Sheet1!$A$1:$G$108, MATCH(B598,[1]Sheet1!$B:$B,0), 1)</f>
        <v>Dieldrin</v>
      </c>
      <c r="L598" t="str">
        <f>INDEX([1]Sheet1!$A$1:$G$108, MATCH(B598,[1]Sheet1!$B:$B,0), 3)</f>
        <v>weak</v>
      </c>
      <c r="M598" t="s">
        <v>109</v>
      </c>
    </row>
    <row r="599" spans="1:13" x14ac:dyDescent="0.3">
      <c r="A599" t="s">
        <v>76</v>
      </c>
      <c r="B599" t="str">
        <f>_xlfn.TEXTBEFORE(_xlfn.TEXTAFTER(A599,"cas-"),"_")</f>
        <v>60-57-1</v>
      </c>
      <c r="C599" t="s">
        <v>17</v>
      </c>
      <c r="D599" t="s">
        <v>11</v>
      </c>
      <c r="E599" t="s">
        <v>12</v>
      </c>
      <c r="F599">
        <v>-7.87</v>
      </c>
      <c r="G599">
        <v>0.79579999999999995</v>
      </c>
      <c r="H599">
        <v>7.891</v>
      </c>
      <c r="I599">
        <v>6.2796577999999998</v>
      </c>
      <c r="K599" t="str">
        <f>INDEX([1]Sheet1!$A$1:$G$108, MATCH(B599,[1]Sheet1!$B:$B,0), 1)</f>
        <v>Dieldrin</v>
      </c>
      <c r="L599" t="str">
        <f>INDEX([1]Sheet1!$A$1:$G$108, MATCH(B599,[1]Sheet1!$B:$B,0), 3)</f>
        <v>weak</v>
      </c>
      <c r="M599" t="s">
        <v>109</v>
      </c>
    </row>
    <row r="600" spans="1:13" x14ac:dyDescent="0.3">
      <c r="A600" t="s">
        <v>77</v>
      </c>
      <c r="B600" t="str">
        <f>_xlfn.TEXTBEFORE(_xlfn.TEXTAFTER(A600,"cas-"),"_")</f>
        <v>603-45-2</v>
      </c>
      <c r="C600" t="s">
        <v>21</v>
      </c>
      <c r="D600" t="s">
        <v>11</v>
      </c>
      <c r="E600" t="s">
        <v>12</v>
      </c>
      <c r="F600">
        <v>-9.69</v>
      </c>
      <c r="G600">
        <v>0.78059999999999996</v>
      </c>
      <c r="H600">
        <v>7.806</v>
      </c>
      <c r="I600">
        <v>6.0933636</v>
      </c>
      <c r="K600" t="str">
        <f>INDEX([1]Sheet1!$A$1:$G$108, MATCH(B600,[1]Sheet1!$B:$B,0), 1)</f>
        <v>Aurin</v>
      </c>
      <c r="L600" t="str">
        <f>INDEX([1]Sheet1!$A$1:$G$108, MATCH(B600,[1]Sheet1!$B:$B,0), 3)</f>
        <v>moderate</v>
      </c>
      <c r="M600" t="s">
        <v>109</v>
      </c>
    </row>
    <row r="601" spans="1:13" x14ac:dyDescent="0.3">
      <c r="A601" t="s">
        <v>77</v>
      </c>
      <c r="B601" t="str">
        <f>_xlfn.TEXTBEFORE(_xlfn.TEXTAFTER(A601,"cas-"),"_")</f>
        <v>603-45-2</v>
      </c>
      <c r="C601" t="s">
        <v>26</v>
      </c>
      <c r="D601" t="s">
        <v>14</v>
      </c>
      <c r="E601" t="s">
        <v>12</v>
      </c>
      <c r="F601">
        <v>-6.96</v>
      </c>
      <c r="G601">
        <v>0.59550000000000003</v>
      </c>
      <c r="H601">
        <v>7.34</v>
      </c>
      <c r="I601">
        <v>4.3709699999999998</v>
      </c>
      <c r="K601" t="str">
        <f>INDEX([1]Sheet1!$A$1:$G$108, MATCH(B601,[1]Sheet1!$B:$B,0), 1)</f>
        <v>Aurin</v>
      </c>
      <c r="L601" t="str">
        <f>INDEX([1]Sheet1!$A$1:$G$108, MATCH(B601,[1]Sheet1!$B:$B,0), 3)</f>
        <v>moderate</v>
      </c>
      <c r="M601" t="s">
        <v>109</v>
      </c>
    </row>
    <row r="602" spans="1:13" x14ac:dyDescent="0.3">
      <c r="A602" t="s">
        <v>77</v>
      </c>
      <c r="B602" t="str">
        <f>_xlfn.TEXTBEFORE(_xlfn.TEXTAFTER(A602,"cas-"),"_")</f>
        <v>603-45-2</v>
      </c>
      <c r="C602" t="s">
        <v>27</v>
      </c>
      <c r="D602" t="s">
        <v>11</v>
      </c>
      <c r="E602" t="s">
        <v>12</v>
      </c>
      <c r="F602">
        <v>-9.1</v>
      </c>
      <c r="G602">
        <v>0.60140000000000005</v>
      </c>
      <c r="H602">
        <v>7.44</v>
      </c>
      <c r="I602">
        <v>4.4744160000000006</v>
      </c>
      <c r="K602" t="str">
        <f>INDEX([1]Sheet1!$A$1:$G$108, MATCH(B602,[1]Sheet1!$B:$B,0), 1)</f>
        <v>Aurin</v>
      </c>
      <c r="L602" t="str">
        <f>INDEX([1]Sheet1!$A$1:$G$108, MATCH(B602,[1]Sheet1!$B:$B,0), 3)</f>
        <v>moderate</v>
      </c>
      <c r="M602" t="s">
        <v>109</v>
      </c>
    </row>
    <row r="603" spans="1:13" x14ac:dyDescent="0.3">
      <c r="A603" t="s">
        <v>77</v>
      </c>
      <c r="B603" t="str">
        <f>_xlfn.TEXTBEFORE(_xlfn.TEXTAFTER(A603,"cas-"),"_")</f>
        <v>603-45-2</v>
      </c>
      <c r="C603" t="s">
        <v>17</v>
      </c>
      <c r="D603" t="s">
        <v>11</v>
      </c>
      <c r="E603" t="s">
        <v>12</v>
      </c>
      <c r="F603">
        <v>-8.89</v>
      </c>
      <c r="G603">
        <v>0.73319999999999996</v>
      </c>
      <c r="H603">
        <v>7.7329999999999997</v>
      </c>
      <c r="I603">
        <v>5.6698355999999999</v>
      </c>
      <c r="K603" t="str">
        <f>INDEX([1]Sheet1!$A$1:$G$108, MATCH(B603,[1]Sheet1!$B:$B,0), 1)</f>
        <v>Aurin</v>
      </c>
      <c r="L603" t="str">
        <f>INDEX([1]Sheet1!$A$1:$G$108, MATCH(B603,[1]Sheet1!$B:$B,0), 3)</f>
        <v>moderate</v>
      </c>
      <c r="M603" t="s">
        <v>109</v>
      </c>
    </row>
    <row r="604" spans="1:13" x14ac:dyDescent="0.3">
      <c r="A604" t="s">
        <v>77</v>
      </c>
      <c r="B604" t="str">
        <f>_xlfn.TEXTBEFORE(_xlfn.TEXTAFTER(A604,"cas-"),"_")</f>
        <v>603-45-2</v>
      </c>
      <c r="C604" t="s">
        <v>18</v>
      </c>
      <c r="D604" t="s">
        <v>11</v>
      </c>
      <c r="E604" t="s">
        <v>12</v>
      </c>
      <c r="F604">
        <v>-9.4</v>
      </c>
      <c r="G604">
        <v>0.6573</v>
      </c>
      <c r="H604">
        <v>7.7759999999999998</v>
      </c>
      <c r="I604">
        <v>5.1111648000000001</v>
      </c>
      <c r="K604" t="str">
        <f>INDEX([1]Sheet1!$A$1:$G$108, MATCH(B604,[1]Sheet1!$B:$B,0), 1)</f>
        <v>Aurin</v>
      </c>
      <c r="L604" t="str">
        <f>INDEX([1]Sheet1!$A$1:$G$108, MATCH(B604,[1]Sheet1!$B:$B,0), 3)</f>
        <v>moderate</v>
      </c>
      <c r="M604" t="s">
        <v>109</v>
      </c>
    </row>
    <row r="605" spans="1:13" x14ac:dyDescent="0.3">
      <c r="A605" t="s">
        <v>77</v>
      </c>
      <c r="B605" t="str">
        <f>_xlfn.TEXTBEFORE(_xlfn.TEXTAFTER(A605,"cas-"),"_")</f>
        <v>603-45-2</v>
      </c>
      <c r="C605" t="s">
        <v>30</v>
      </c>
      <c r="D605" t="s">
        <v>31</v>
      </c>
      <c r="E605" t="s">
        <v>12</v>
      </c>
      <c r="F605">
        <v>-7.44</v>
      </c>
      <c r="G605">
        <v>0.60140000000000005</v>
      </c>
      <c r="H605">
        <v>7.234</v>
      </c>
      <c r="I605">
        <v>4.3505276000000004</v>
      </c>
      <c r="K605" t="str">
        <f>INDEX([1]Sheet1!$A$1:$G$108, MATCH(B605,[1]Sheet1!$B:$B,0), 1)</f>
        <v>Aurin</v>
      </c>
      <c r="L605" t="str">
        <f>INDEX([1]Sheet1!$A$1:$G$108, MATCH(B605,[1]Sheet1!$B:$B,0), 3)</f>
        <v>moderate</v>
      </c>
      <c r="M605" t="s">
        <v>109</v>
      </c>
    </row>
    <row r="606" spans="1:13" x14ac:dyDescent="0.3">
      <c r="A606" t="s">
        <v>77</v>
      </c>
      <c r="B606" t="str">
        <f>_xlfn.TEXTBEFORE(_xlfn.TEXTAFTER(A606,"cas-"),"_")</f>
        <v>603-45-2</v>
      </c>
      <c r="C606" t="s">
        <v>15</v>
      </c>
      <c r="D606" t="s">
        <v>16</v>
      </c>
      <c r="E606" t="s">
        <v>12</v>
      </c>
      <c r="F606">
        <v>-8.27</v>
      </c>
      <c r="G606">
        <v>0.60550000000000004</v>
      </c>
      <c r="H606">
        <v>7.2160000000000002</v>
      </c>
      <c r="I606">
        <v>4.3692880000000001</v>
      </c>
      <c r="K606" t="str">
        <f>INDEX([1]Sheet1!$A$1:$G$108, MATCH(B606,[1]Sheet1!$B:$B,0), 1)</f>
        <v>Aurin</v>
      </c>
      <c r="L606" t="str">
        <f>INDEX([1]Sheet1!$A$1:$G$108, MATCH(B606,[1]Sheet1!$B:$B,0), 3)</f>
        <v>moderate</v>
      </c>
      <c r="M606" t="s">
        <v>109</v>
      </c>
    </row>
    <row r="607" spans="1:13" x14ac:dyDescent="0.3">
      <c r="A607" t="s">
        <v>77</v>
      </c>
      <c r="B607" t="str">
        <f>_xlfn.TEXTBEFORE(_xlfn.TEXTAFTER(A607,"cas-"),"_")</f>
        <v>603-45-2</v>
      </c>
      <c r="C607" t="s">
        <v>24</v>
      </c>
      <c r="D607" t="s">
        <v>25</v>
      </c>
      <c r="E607" t="s">
        <v>12</v>
      </c>
      <c r="F607">
        <v>2.16</v>
      </c>
      <c r="G607">
        <v>0.58340000000000003</v>
      </c>
      <c r="H607">
        <v>7.3970000000000002</v>
      </c>
      <c r="I607">
        <v>4.3154098000000003</v>
      </c>
      <c r="K607" t="str">
        <f>INDEX([1]Sheet1!$A$1:$G$108, MATCH(B607,[1]Sheet1!$B:$B,0), 1)</f>
        <v>Aurin</v>
      </c>
      <c r="L607" t="str">
        <f>INDEX([1]Sheet1!$A$1:$G$108, MATCH(B607,[1]Sheet1!$B:$B,0), 3)</f>
        <v>moderate</v>
      </c>
      <c r="M607" t="s">
        <v>109</v>
      </c>
    </row>
    <row r="608" spans="1:13" x14ac:dyDescent="0.3">
      <c r="A608" t="s">
        <v>77</v>
      </c>
      <c r="B608" t="str">
        <f>_xlfn.TEXTBEFORE(_xlfn.TEXTAFTER(A608,"cas-"),"_")</f>
        <v>603-45-2</v>
      </c>
      <c r="C608" t="s">
        <v>19</v>
      </c>
      <c r="D608" t="s">
        <v>20</v>
      </c>
      <c r="E608" t="s">
        <v>12</v>
      </c>
      <c r="F608">
        <v>-6.93</v>
      </c>
      <c r="G608">
        <v>0.6411</v>
      </c>
      <c r="H608">
        <v>7.5039999999999996</v>
      </c>
      <c r="I608">
        <v>4.8108143999999999</v>
      </c>
      <c r="K608" t="str">
        <f>INDEX([1]Sheet1!$A$1:$G$108, MATCH(B608,[1]Sheet1!$B:$B,0), 1)</f>
        <v>Aurin</v>
      </c>
      <c r="L608" t="str">
        <f>INDEX([1]Sheet1!$A$1:$G$108, MATCH(B608,[1]Sheet1!$B:$B,0), 3)</f>
        <v>moderate</v>
      </c>
      <c r="M608" t="s">
        <v>109</v>
      </c>
    </row>
    <row r="609" spans="1:13" x14ac:dyDescent="0.3">
      <c r="A609" t="s">
        <v>77</v>
      </c>
      <c r="B609" t="str">
        <f>_xlfn.TEXTBEFORE(_xlfn.TEXTAFTER(A609,"cas-"),"_")</f>
        <v>603-45-2</v>
      </c>
      <c r="C609" t="s">
        <v>28</v>
      </c>
      <c r="D609" t="s">
        <v>29</v>
      </c>
      <c r="E609" t="s">
        <v>12</v>
      </c>
      <c r="F609">
        <v>-8.92</v>
      </c>
      <c r="G609">
        <v>0.90029999999999999</v>
      </c>
      <c r="H609">
        <v>7.6740000000000004</v>
      </c>
      <c r="I609">
        <v>6.9089022</v>
      </c>
      <c r="K609" t="str">
        <f>INDEX([1]Sheet1!$A$1:$G$108, MATCH(B609,[1]Sheet1!$B:$B,0), 1)</f>
        <v>Aurin</v>
      </c>
      <c r="L609" t="str">
        <f>INDEX([1]Sheet1!$A$1:$G$108, MATCH(B609,[1]Sheet1!$B:$B,0), 3)</f>
        <v>moderate</v>
      </c>
      <c r="M609" t="s">
        <v>109</v>
      </c>
    </row>
    <row r="610" spans="1:13" x14ac:dyDescent="0.3">
      <c r="A610" t="s">
        <v>77</v>
      </c>
      <c r="B610" t="str">
        <f>_xlfn.TEXTBEFORE(_xlfn.TEXTAFTER(A610,"cas-"),"_")</f>
        <v>603-45-2</v>
      </c>
      <c r="C610" t="s">
        <v>22</v>
      </c>
      <c r="D610" t="s">
        <v>23</v>
      </c>
      <c r="E610" t="s">
        <v>12</v>
      </c>
      <c r="F610">
        <v>-9.56</v>
      </c>
      <c r="G610">
        <v>0.81799999999999995</v>
      </c>
      <c r="H610">
        <v>7.5570000000000004</v>
      </c>
      <c r="I610">
        <v>6.1816259999999996</v>
      </c>
      <c r="K610" t="str">
        <f>INDEX([1]Sheet1!$A$1:$G$108, MATCH(B610,[1]Sheet1!$B:$B,0), 1)</f>
        <v>Aurin</v>
      </c>
      <c r="L610" t="str">
        <f>INDEX([1]Sheet1!$A$1:$G$108, MATCH(B610,[1]Sheet1!$B:$B,0), 3)</f>
        <v>moderate</v>
      </c>
      <c r="M610" t="s">
        <v>109</v>
      </c>
    </row>
    <row r="611" spans="1:13" x14ac:dyDescent="0.3">
      <c r="A611" t="s">
        <v>77</v>
      </c>
      <c r="B611" t="str">
        <f>_xlfn.TEXTBEFORE(_xlfn.TEXTAFTER(A611,"cas-"),"_")</f>
        <v>603-45-2</v>
      </c>
      <c r="C611" t="s">
        <v>10</v>
      </c>
      <c r="D611" t="s">
        <v>11</v>
      </c>
      <c r="E611" t="s">
        <v>12</v>
      </c>
      <c r="F611">
        <v>-6.59</v>
      </c>
      <c r="G611">
        <v>0.78700000000000003</v>
      </c>
      <c r="H611">
        <v>7.76</v>
      </c>
      <c r="I611">
        <v>6.1071200000000001</v>
      </c>
      <c r="K611" t="str">
        <f>INDEX([1]Sheet1!$A$1:$G$108, MATCH(B611,[1]Sheet1!$B:$B,0), 1)</f>
        <v>Aurin</v>
      </c>
      <c r="L611" t="str">
        <f>INDEX([1]Sheet1!$A$1:$G$108, MATCH(B611,[1]Sheet1!$B:$B,0), 3)</f>
        <v>moderate</v>
      </c>
      <c r="M611" t="s">
        <v>109</v>
      </c>
    </row>
    <row r="612" spans="1:13" x14ac:dyDescent="0.3">
      <c r="A612" t="s">
        <v>77</v>
      </c>
      <c r="B612" t="str">
        <f>_xlfn.TEXTBEFORE(_xlfn.TEXTAFTER(A612,"cas-"),"_")</f>
        <v>603-45-2</v>
      </c>
      <c r="C612" t="s">
        <v>13</v>
      </c>
      <c r="D612" t="s">
        <v>14</v>
      </c>
      <c r="E612" t="s">
        <v>12</v>
      </c>
      <c r="F612">
        <v>-3.61</v>
      </c>
      <c r="G612">
        <v>0.70660000000000001</v>
      </c>
      <c r="H612">
        <v>7.9169999999999998</v>
      </c>
      <c r="I612">
        <v>5.5941521999999999</v>
      </c>
      <c r="K612" t="str">
        <f>INDEX([1]Sheet1!$A$1:$G$108, MATCH(B612,[1]Sheet1!$B:$B,0), 1)</f>
        <v>Aurin</v>
      </c>
      <c r="L612" t="str">
        <f>INDEX([1]Sheet1!$A$1:$G$108, MATCH(B612,[1]Sheet1!$B:$B,0), 3)</f>
        <v>moderate</v>
      </c>
      <c r="M612" t="s">
        <v>109</v>
      </c>
    </row>
    <row r="613" spans="1:13" x14ac:dyDescent="0.3">
      <c r="A613" t="s">
        <v>78</v>
      </c>
      <c r="B613" t="str">
        <f>_xlfn.TEXTBEFORE(_xlfn.TEXTAFTER(A613,"cas-"),"_")</f>
        <v>6052-84-2</v>
      </c>
      <c r="C613" t="s">
        <v>19</v>
      </c>
      <c r="D613" t="s">
        <v>20</v>
      </c>
      <c r="E613" t="s">
        <v>12</v>
      </c>
      <c r="F613">
        <v>-8.01</v>
      </c>
      <c r="G613">
        <v>0.87560000000000004</v>
      </c>
      <c r="H613">
        <v>6.8159999999999998</v>
      </c>
      <c r="I613">
        <v>5.9680895999999999</v>
      </c>
      <c r="K613" t="str">
        <f>INDEX([1]Sheet1!$A$1:$G$108, MATCH(B613,[1]Sheet1!$B:$B,0), 1)</f>
        <v>"4,4'-(1,2-Ethanediyl)bisphenol"</v>
      </c>
      <c r="L613" t="str">
        <f>INDEX([1]Sheet1!$A$1:$G$108, MATCH(B613,[1]Sheet1!$B:$B,0), 3)</f>
        <v>moderate</v>
      </c>
      <c r="M613" t="s">
        <v>109</v>
      </c>
    </row>
    <row r="614" spans="1:13" x14ac:dyDescent="0.3">
      <c r="A614" t="s">
        <v>78</v>
      </c>
      <c r="B614" t="str">
        <f>_xlfn.TEXTBEFORE(_xlfn.TEXTAFTER(A614,"cas-"),"_")</f>
        <v>6052-84-2</v>
      </c>
      <c r="C614" t="s">
        <v>30</v>
      </c>
      <c r="D614" t="s">
        <v>31</v>
      </c>
      <c r="E614" t="s">
        <v>12</v>
      </c>
      <c r="F614">
        <v>-6.92</v>
      </c>
      <c r="G614">
        <v>0.86070000000000002</v>
      </c>
      <c r="H614">
        <v>7.0549999999999997</v>
      </c>
      <c r="I614">
        <v>6.0722385000000001</v>
      </c>
      <c r="K614" t="str">
        <f>INDEX([1]Sheet1!$A$1:$G$108, MATCH(B614,[1]Sheet1!$B:$B,0), 1)</f>
        <v>"4,4'-(1,2-Ethanediyl)bisphenol"</v>
      </c>
      <c r="L614" t="str">
        <f>INDEX([1]Sheet1!$A$1:$G$108, MATCH(B614,[1]Sheet1!$B:$B,0), 3)</f>
        <v>moderate</v>
      </c>
      <c r="M614" t="s">
        <v>109</v>
      </c>
    </row>
    <row r="615" spans="1:13" x14ac:dyDescent="0.3">
      <c r="A615" t="s">
        <v>78</v>
      </c>
      <c r="B615" t="str">
        <f>_xlfn.TEXTBEFORE(_xlfn.TEXTAFTER(A615,"cas-"),"_")</f>
        <v>6052-84-2</v>
      </c>
      <c r="C615" t="s">
        <v>13</v>
      </c>
      <c r="D615" t="s">
        <v>14</v>
      </c>
      <c r="E615" t="s">
        <v>12</v>
      </c>
      <c r="F615">
        <v>-8.2799999999999994</v>
      </c>
      <c r="G615">
        <v>0.95389999999999997</v>
      </c>
      <c r="H615">
        <v>7.5010000000000003</v>
      </c>
      <c r="I615">
        <v>7.1552039000000001</v>
      </c>
      <c r="K615" t="str">
        <f>INDEX([1]Sheet1!$A$1:$G$108, MATCH(B615,[1]Sheet1!$B:$B,0), 1)</f>
        <v>"4,4'-(1,2-Ethanediyl)bisphenol"</v>
      </c>
      <c r="L615" t="str">
        <f>INDEX([1]Sheet1!$A$1:$G$108, MATCH(B615,[1]Sheet1!$B:$B,0), 3)</f>
        <v>moderate</v>
      </c>
      <c r="M615" t="s">
        <v>109</v>
      </c>
    </row>
    <row r="616" spans="1:13" x14ac:dyDescent="0.3">
      <c r="A616" t="s">
        <v>78</v>
      </c>
      <c r="B616" t="str">
        <f>_xlfn.TEXTBEFORE(_xlfn.TEXTAFTER(A616,"cas-"),"_")</f>
        <v>6052-84-2</v>
      </c>
      <c r="C616" t="s">
        <v>24</v>
      </c>
      <c r="D616" t="s">
        <v>25</v>
      </c>
      <c r="E616" t="s">
        <v>12</v>
      </c>
      <c r="F616">
        <v>-8.25</v>
      </c>
      <c r="G616">
        <v>0.87109999999999999</v>
      </c>
      <c r="H616">
        <v>7.1989999999999998</v>
      </c>
      <c r="I616">
        <v>6.2710488999999994</v>
      </c>
      <c r="K616" t="str">
        <f>INDEX([1]Sheet1!$A$1:$G$108, MATCH(B616,[1]Sheet1!$B:$B,0), 1)</f>
        <v>"4,4'-(1,2-Ethanediyl)bisphenol"</v>
      </c>
      <c r="L616" t="str">
        <f>INDEX([1]Sheet1!$A$1:$G$108, MATCH(B616,[1]Sheet1!$B:$B,0), 3)</f>
        <v>moderate</v>
      </c>
      <c r="M616" t="s">
        <v>109</v>
      </c>
    </row>
    <row r="617" spans="1:13" x14ac:dyDescent="0.3">
      <c r="A617" t="s">
        <v>78</v>
      </c>
      <c r="B617" t="str">
        <f>_xlfn.TEXTBEFORE(_xlfn.TEXTAFTER(A617,"cas-"),"_")</f>
        <v>6052-84-2</v>
      </c>
      <c r="C617" t="s">
        <v>18</v>
      </c>
      <c r="D617" t="s">
        <v>11</v>
      </c>
      <c r="E617" t="s">
        <v>12</v>
      </c>
      <c r="F617">
        <v>-7.58</v>
      </c>
      <c r="G617">
        <v>0.87209999999999999</v>
      </c>
      <c r="H617">
        <v>6.5129999999999999</v>
      </c>
      <c r="I617">
        <v>5.6799872999999996</v>
      </c>
      <c r="K617" t="str">
        <f>INDEX([1]Sheet1!$A$1:$G$108, MATCH(B617,[1]Sheet1!$B:$B,0), 1)</f>
        <v>"4,4'-(1,2-Ethanediyl)bisphenol"</v>
      </c>
      <c r="L617" t="str">
        <f>INDEX([1]Sheet1!$A$1:$G$108, MATCH(B617,[1]Sheet1!$B:$B,0), 3)</f>
        <v>moderate</v>
      </c>
      <c r="M617" t="s">
        <v>109</v>
      </c>
    </row>
    <row r="618" spans="1:13" x14ac:dyDescent="0.3">
      <c r="A618" t="s">
        <v>78</v>
      </c>
      <c r="B618" t="str">
        <f>_xlfn.TEXTBEFORE(_xlfn.TEXTAFTER(A618,"cas-"),"_")</f>
        <v>6052-84-2</v>
      </c>
      <c r="C618" t="s">
        <v>21</v>
      </c>
      <c r="D618" t="s">
        <v>11</v>
      </c>
      <c r="E618" t="s">
        <v>12</v>
      </c>
      <c r="F618">
        <v>-8.16</v>
      </c>
      <c r="G618">
        <v>0.87239999999999995</v>
      </c>
      <c r="H618">
        <v>7.0229999999999997</v>
      </c>
      <c r="I618">
        <v>6.1268651999999992</v>
      </c>
      <c r="K618" t="str">
        <f>INDEX([1]Sheet1!$A$1:$G$108, MATCH(B618,[1]Sheet1!$B:$B,0), 1)</f>
        <v>"4,4'-(1,2-Ethanediyl)bisphenol"</v>
      </c>
      <c r="L618" t="str">
        <f>INDEX([1]Sheet1!$A$1:$G$108, MATCH(B618,[1]Sheet1!$B:$B,0), 3)</f>
        <v>moderate</v>
      </c>
      <c r="M618" t="s">
        <v>109</v>
      </c>
    </row>
    <row r="619" spans="1:13" x14ac:dyDescent="0.3">
      <c r="A619" t="s">
        <v>78</v>
      </c>
      <c r="B619" t="str">
        <f>_xlfn.TEXTBEFORE(_xlfn.TEXTAFTER(A619,"cas-"),"_")</f>
        <v>6052-84-2</v>
      </c>
      <c r="C619" t="s">
        <v>17</v>
      </c>
      <c r="D619" t="s">
        <v>11</v>
      </c>
      <c r="E619" t="s">
        <v>12</v>
      </c>
      <c r="F619">
        <v>-8.43</v>
      </c>
      <c r="G619">
        <v>0.82399999999999995</v>
      </c>
      <c r="H619">
        <v>6.9740000000000002</v>
      </c>
      <c r="I619">
        <v>5.7465760000000001</v>
      </c>
      <c r="K619" t="str">
        <f>INDEX([1]Sheet1!$A$1:$G$108, MATCH(B619,[1]Sheet1!$B:$B,0), 1)</f>
        <v>"4,4'-(1,2-Ethanediyl)bisphenol"</v>
      </c>
      <c r="L619" t="str">
        <f>INDEX([1]Sheet1!$A$1:$G$108, MATCH(B619,[1]Sheet1!$B:$B,0), 3)</f>
        <v>moderate</v>
      </c>
      <c r="M619" t="s">
        <v>109</v>
      </c>
    </row>
    <row r="620" spans="1:13" x14ac:dyDescent="0.3">
      <c r="A620" t="s">
        <v>78</v>
      </c>
      <c r="B620" t="str">
        <f>_xlfn.TEXTBEFORE(_xlfn.TEXTAFTER(A620,"cas-"),"_")</f>
        <v>6052-84-2</v>
      </c>
      <c r="C620" t="s">
        <v>26</v>
      </c>
      <c r="D620" t="s">
        <v>14</v>
      </c>
      <c r="E620" t="s">
        <v>12</v>
      </c>
      <c r="F620">
        <v>-8.11</v>
      </c>
      <c r="G620">
        <v>0.94720000000000004</v>
      </c>
      <c r="H620">
        <v>7.0670000000000002</v>
      </c>
      <c r="I620">
        <v>6.6938624000000004</v>
      </c>
      <c r="K620" t="str">
        <f>INDEX([1]Sheet1!$A$1:$G$108, MATCH(B620,[1]Sheet1!$B:$B,0), 1)</f>
        <v>"4,4'-(1,2-Ethanediyl)bisphenol"</v>
      </c>
      <c r="L620" t="str">
        <f>INDEX([1]Sheet1!$A$1:$G$108, MATCH(B620,[1]Sheet1!$B:$B,0), 3)</f>
        <v>moderate</v>
      </c>
      <c r="M620" t="s">
        <v>109</v>
      </c>
    </row>
    <row r="621" spans="1:13" x14ac:dyDescent="0.3">
      <c r="A621" t="s">
        <v>78</v>
      </c>
      <c r="B621" t="str">
        <f>_xlfn.TEXTBEFORE(_xlfn.TEXTAFTER(A621,"cas-"),"_")</f>
        <v>6052-84-2</v>
      </c>
      <c r="C621" t="s">
        <v>22</v>
      </c>
      <c r="D621" t="s">
        <v>23</v>
      </c>
      <c r="E621" t="s">
        <v>12</v>
      </c>
      <c r="F621">
        <v>-7.55</v>
      </c>
      <c r="G621">
        <v>0.86409999999999998</v>
      </c>
      <c r="H621">
        <v>7.093</v>
      </c>
      <c r="I621">
        <v>6.1290613</v>
      </c>
      <c r="K621" t="str">
        <f>INDEX([1]Sheet1!$A$1:$G$108, MATCH(B621,[1]Sheet1!$B:$B,0), 1)</f>
        <v>"4,4'-(1,2-Ethanediyl)bisphenol"</v>
      </c>
      <c r="L621" t="str">
        <f>INDEX([1]Sheet1!$A$1:$G$108, MATCH(B621,[1]Sheet1!$B:$B,0), 3)</f>
        <v>moderate</v>
      </c>
      <c r="M621" t="s">
        <v>109</v>
      </c>
    </row>
    <row r="622" spans="1:13" x14ac:dyDescent="0.3">
      <c r="A622" t="s">
        <v>78</v>
      </c>
      <c r="B622" t="str">
        <f>_xlfn.TEXTBEFORE(_xlfn.TEXTAFTER(A622,"cas-"),"_")</f>
        <v>6052-84-2</v>
      </c>
      <c r="C622" t="s">
        <v>15</v>
      </c>
      <c r="D622" t="s">
        <v>16</v>
      </c>
      <c r="E622" t="s">
        <v>12</v>
      </c>
      <c r="F622">
        <v>-8.43</v>
      </c>
      <c r="G622">
        <v>0.83389999999999997</v>
      </c>
      <c r="H622">
        <v>6.694</v>
      </c>
      <c r="I622">
        <v>5.5821265999999996</v>
      </c>
      <c r="K622" t="str">
        <f>INDEX([1]Sheet1!$A$1:$G$108, MATCH(B622,[1]Sheet1!$B:$B,0), 1)</f>
        <v>"4,4'-(1,2-Ethanediyl)bisphenol"</v>
      </c>
      <c r="L622" t="str">
        <f>INDEX([1]Sheet1!$A$1:$G$108, MATCH(B622,[1]Sheet1!$B:$B,0), 3)</f>
        <v>moderate</v>
      </c>
      <c r="M622" t="s">
        <v>109</v>
      </c>
    </row>
    <row r="623" spans="1:13" x14ac:dyDescent="0.3">
      <c r="A623" t="s">
        <v>78</v>
      </c>
      <c r="B623" t="str">
        <f>_xlfn.TEXTBEFORE(_xlfn.TEXTAFTER(A623,"cas-"),"_")</f>
        <v>6052-84-2</v>
      </c>
      <c r="C623" t="s">
        <v>10</v>
      </c>
      <c r="D623" t="s">
        <v>11</v>
      </c>
      <c r="E623" t="s">
        <v>12</v>
      </c>
      <c r="F623">
        <v>-8.15</v>
      </c>
      <c r="G623">
        <v>0.84930000000000005</v>
      </c>
      <c r="H623">
        <v>6.8540000000000001</v>
      </c>
      <c r="I623">
        <v>5.8211022000000003</v>
      </c>
      <c r="K623" t="str">
        <f>INDEX([1]Sheet1!$A$1:$G$108, MATCH(B623,[1]Sheet1!$B:$B,0), 1)</f>
        <v>"4,4'-(1,2-Ethanediyl)bisphenol"</v>
      </c>
      <c r="L623" t="str">
        <f>INDEX([1]Sheet1!$A$1:$G$108, MATCH(B623,[1]Sheet1!$B:$B,0), 3)</f>
        <v>moderate</v>
      </c>
      <c r="M623" t="s">
        <v>109</v>
      </c>
    </row>
    <row r="624" spans="1:13" x14ac:dyDescent="0.3">
      <c r="A624" t="s">
        <v>78</v>
      </c>
      <c r="B624" t="str">
        <f>_xlfn.TEXTBEFORE(_xlfn.TEXTAFTER(A624,"cas-"),"_")</f>
        <v>6052-84-2</v>
      </c>
      <c r="C624" t="s">
        <v>28</v>
      </c>
      <c r="D624" t="s">
        <v>29</v>
      </c>
      <c r="E624" t="s">
        <v>12</v>
      </c>
      <c r="F624">
        <v>-7.88</v>
      </c>
      <c r="G624">
        <v>0.86429999999999996</v>
      </c>
      <c r="H624">
        <v>7.1449999999999996</v>
      </c>
      <c r="I624">
        <v>6.1754234999999991</v>
      </c>
      <c r="K624" t="str">
        <f>INDEX([1]Sheet1!$A$1:$G$108, MATCH(B624,[1]Sheet1!$B:$B,0), 1)</f>
        <v>"4,4'-(1,2-Ethanediyl)bisphenol"</v>
      </c>
      <c r="L624" t="str">
        <f>INDEX([1]Sheet1!$A$1:$G$108, MATCH(B624,[1]Sheet1!$B:$B,0), 3)</f>
        <v>moderate</v>
      </c>
      <c r="M624" t="s">
        <v>109</v>
      </c>
    </row>
    <row r="625" spans="1:13" x14ac:dyDescent="0.3">
      <c r="A625" t="s">
        <v>78</v>
      </c>
      <c r="B625" t="str">
        <f>_xlfn.TEXTBEFORE(_xlfn.TEXTAFTER(A625,"cas-"),"_")</f>
        <v>6052-84-2</v>
      </c>
      <c r="C625" t="s">
        <v>27</v>
      </c>
      <c r="D625" t="s">
        <v>11</v>
      </c>
      <c r="E625" t="s">
        <v>12</v>
      </c>
      <c r="F625">
        <v>-8.41</v>
      </c>
      <c r="G625">
        <v>0.8427</v>
      </c>
      <c r="H625">
        <v>7.1929999999999996</v>
      </c>
      <c r="I625">
        <v>6.0615410999999986</v>
      </c>
      <c r="K625" t="str">
        <f>INDEX([1]Sheet1!$A$1:$G$108, MATCH(B625,[1]Sheet1!$B:$B,0), 1)</f>
        <v>"4,4'-(1,2-Ethanediyl)bisphenol"</v>
      </c>
      <c r="L625" t="str">
        <f>INDEX([1]Sheet1!$A$1:$G$108, MATCH(B625,[1]Sheet1!$B:$B,0), 3)</f>
        <v>moderate</v>
      </c>
      <c r="M625" t="s">
        <v>109</v>
      </c>
    </row>
    <row r="626" spans="1:13" x14ac:dyDescent="0.3">
      <c r="A626" t="s">
        <v>79</v>
      </c>
      <c r="B626" t="str">
        <f>_xlfn.TEXTBEFORE(_xlfn.TEXTAFTER(A626,"cas-"),"_")</f>
        <v>611-99-4</v>
      </c>
      <c r="C626" t="s">
        <v>28</v>
      </c>
      <c r="D626" t="s">
        <v>29</v>
      </c>
      <c r="E626" t="s">
        <v>12</v>
      </c>
      <c r="F626">
        <v>-7.91</v>
      </c>
      <c r="G626">
        <v>0.79979999999999996</v>
      </c>
      <c r="H626">
        <v>6.68</v>
      </c>
      <c r="I626">
        <v>5.3426639999999992</v>
      </c>
      <c r="K626" t="str">
        <f>INDEX([1]Sheet1!$A$1:$G$108, MATCH(B626,[1]Sheet1!$B:$B,0), 1)</f>
        <v>"4,4'-Dihydoxy-benzophenone"</v>
      </c>
      <c r="L626" t="str">
        <f>INDEX([1]Sheet1!$A$1:$G$108, MATCH(B626,[1]Sheet1!$B:$B,0), 3)</f>
        <v>weak</v>
      </c>
      <c r="M626" t="s">
        <v>109</v>
      </c>
    </row>
    <row r="627" spans="1:13" x14ac:dyDescent="0.3">
      <c r="A627" t="s">
        <v>79</v>
      </c>
      <c r="B627" t="str">
        <f>_xlfn.TEXTBEFORE(_xlfn.TEXTAFTER(A627,"cas-"),"_")</f>
        <v>611-99-4</v>
      </c>
      <c r="C627" t="s">
        <v>10</v>
      </c>
      <c r="D627" t="s">
        <v>11</v>
      </c>
      <c r="E627" t="s">
        <v>12</v>
      </c>
      <c r="F627">
        <v>-6.91</v>
      </c>
      <c r="G627">
        <v>0.84589999999999999</v>
      </c>
      <c r="H627">
        <v>6.7510000000000003</v>
      </c>
      <c r="I627">
        <v>5.7106709000000002</v>
      </c>
      <c r="K627" t="str">
        <f>INDEX([1]Sheet1!$A$1:$G$108, MATCH(B627,[1]Sheet1!$B:$B,0), 1)</f>
        <v>"4,4'-Dihydoxy-benzophenone"</v>
      </c>
      <c r="L627" t="str">
        <f>INDEX([1]Sheet1!$A$1:$G$108, MATCH(B627,[1]Sheet1!$B:$B,0), 3)</f>
        <v>weak</v>
      </c>
      <c r="M627" t="s">
        <v>109</v>
      </c>
    </row>
    <row r="628" spans="1:13" x14ac:dyDescent="0.3">
      <c r="A628" t="s">
        <v>79</v>
      </c>
      <c r="B628" t="str">
        <f>_xlfn.TEXTBEFORE(_xlfn.TEXTAFTER(A628,"cas-"),"_")</f>
        <v>611-99-4</v>
      </c>
      <c r="C628" t="s">
        <v>18</v>
      </c>
      <c r="D628" t="s">
        <v>11</v>
      </c>
      <c r="E628" t="s">
        <v>12</v>
      </c>
      <c r="F628">
        <v>-7.15</v>
      </c>
      <c r="G628">
        <v>0.84179999999999999</v>
      </c>
      <c r="H628">
        <v>6.6820000000000004</v>
      </c>
      <c r="I628">
        <v>5.6249076000000002</v>
      </c>
      <c r="K628" t="str">
        <f>INDEX([1]Sheet1!$A$1:$G$108, MATCH(B628,[1]Sheet1!$B:$B,0), 1)</f>
        <v>"4,4'-Dihydoxy-benzophenone"</v>
      </c>
      <c r="L628" t="str">
        <f>INDEX([1]Sheet1!$A$1:$G$108, MATCH(B628,[1]Sheet1!$B:$B,0), 3)</f>
        <v>weak</v>
      </c>
      <c r="M628" t="s">
        <v>109</v>
      </c>
    </row>
    <row r="629" spans="1:13" x14ac:dyDescent="0.3">
      <c r="A629" t="s">
        <v>79</v>
      </c>
      <c r="B629" t="str">
        <f>_xlfn.TEXTBEFORE(_xlfn.TEXTAFTER(A629,"cas-"),"_")</f>
        <v>611-99-4</v>
      </c>
      <c r="C629" t="s">
        <v>26</v>
      </c>
      <c r="D629" t="s">
        <v>14</v>
      </c>
      <c r="E629" t="s">
        <v>12</v>
      </c>
      <c r="F629">
        <v>-7.49</v>
      </c>
      <c r="G629">
        <v>0.89870000000000005</v>
      </c>
      <c r="H629">
        <v>6.5579999999999998</v>
      </c>
      <c r="I629">
        <v>5.8936745999999998</v>
      </c>
      <c r="K629" t="str">
        <f>INDEX([1]Sheet1!$A$1:$G$108, MATCH(B629,[1]Sheet1!$B:$B,0), 1)</f>
        <v>"4,4'-Dihydoxy-benzophenone"</v>
      </c>
      <c r="L629" t="str">
        <f>INDEX([1]Sheet1!$A$1:$G$108, MATCH(B629,[1]Sheet1!$B:$B,0), 3)</f>
        <v>weak</v>
      </c>
      <c r="M629" t="s">
        <v>109</v>
      </c>
    </row>
    <row r="630" spans="1:13" x14ac:dyDescent="0.3">
      <c r="A630" t="s">
        <v>79</v>
      </c>
      <c r="B630" t="str">
        <f>_xlfn.TEXTBEFORE(_xlfn.TEXTAFTER(A630,"cas-"),"_")</f>
        <v>611-99-4</v>
      </c>
      <c r="C630" t="s">
        <v>15</v>
      </c>
      <c r="D630" t="s">
        <v>16</v>
      </c>
      <c r="E630" t="s">
        <v>12</v>
      </c>
      <c r="F630">
        <v>-7.56</v>
      </c>
      <c r="G630">
        <v>0.74370000000000003</v>
      </c>
      <c r="H630">
        <v>5.968</v>
      </c>
      <c r="I630">
        <v>4.4384015999999997</v>
      </c>
      <c r="K630" t="str">
        <f>INDEX([1]Sheet1!$A$1:$G$108, MATCH(B630,[1]Sheet1!$B:$B,0), 1)</f>
        <v>"4,4'-Dihydoxy-benzophenone"</v>
      </c>
      <c r="L630" t="str">
        <f>INDEX([1]Sheet1!$A$1:$G$108, MATCH(B630,[1]Sheet1!$B:$B,0), 3)</f>
        <v>weak</v>
      </c>
      <c r="M630" t="s">
        <v>109</v>
      </c>
    </row>
    <row r="631" spans="1:13" x14ac:dyDescent="0.3">
      <c r="A631" t="s">
        <v>79</v>
      </c>
      <c r="B631" t="str">
        <f>_xlfn.TEXTBEFORE(_xlfn.TEXTAFTER(A631,"cas-"),"_")</f>
        <v>611-99-4</v>
      </c>
      <c r="C631" t="s">
        <v>27</v>
      </c>
      <c r="D631" t="s">
        <v>11</v>
      </c>
      <c r="E631" t="s">
        <v>12</v>
      </c>
      <c r="F631">
        <v>-8.0500000000000007</v>
      </c>
      <c r="G631">
        <v>0.80969999999999998</v>
      </c>
      <c r="H631">
        <v>7.0739999999999998</v>
      </c>
      <c r="I631">
        <v>5.7278178000000004</v>
      </c>
      <c r="K631" t="str">
        <f>INDEX([1]Sheet1!$A$1:$G$108, MATCH(B631,[1]Sheet1!$B:$B,0), 1)</f>
        <v>"4,4'-Dihydoxy-benzophenone"</v>
      </c>
      <c r="L631" t="str">
        <f>INDEX([1]Sheet1!$A$1:$G$108, MATCH(B631,[1]Sheet1!$B:$B,0), 3)</f>
        <v>weak</v>
      </c>
      <c r="M631" t="s">
        <v>109</v>
      </c>
    </row>
    <row r="632" spans="1:13" x14ac:dyDescent="0.3">
      <c r="A632" t="s">
        <v>79</v>
      </c>
      <c r="B632" t="str">
        <f>_xlfn.TEXTBEFORE(_xlfn.TEXTAFTER(A632,"cas-"),"_")</f>
        <v>611-99-4</v>
      </c>
      <c r="C632" t="s">
        <v>22</v>
      </c>
      <c r="D632" t="s">
        <v>23</v>
      </c>
      <c r="E632" t="s">
        <v>12</v>
      </c>
      <c r="F632">
        <v>-7.23</v>
      </c>
      <c r="G632">
        <v>0.82540000000000002</v>
      </c>
      <c r="H632">
        <v>5.8979999999999997</v>
      </c>
      <c r="I632">
        <v>4.8682091999999999</v>
      </c>
      <c r="K632" t="str">
        <f>INDEX([1]Sheet1!$A$1:$G$108, MATCH(B632,[1]Sheet1!$B:$B,0), 1)</f>
        <v>"4,4'-Dihydoxy-benzophenone"</v>
      </c>
      <c r="L632" t="str">
        <f>INDEX([1]Sheet1!$A$1:$G$108, MATCH(B632,[1]Sheet1!$B:$B,0), 3)</f>
        <v>weak</v>
      </c>
      <c r="M632" t="s">
        <v>109</v>
      </c>
    </row>
    <row r="633" spans="1:13" x14ac:dyDescent="0.3">
      <c r="A633" t="s">
        <v>79</v>
      </c>
      <c r="B633" t="str">
        <f>_xlfn.TEXTBEFORE(_xlfn.TEXTAFTER(A633,"cas-"),"_")</f>
        <v>611-99-4</v>
      </c>
      <c r="C633" t="s">
        <v>24</v>
      </c>
      <c r="D633" t="s">
        <v>25</v>
      </c>
      <c r="E633" t="s">
        <v>12</v>
      </c>
      <c r="F633">
        <v>-7.63</v>
      </c>
      <c r="G633">
        <v>0.77949999999999997</v>
      </c>
      <c r="H633">
        <v>6.484</v>
      </c>
      <c r="I633">
        <v>5.054278</v>
      </c>
      <c r="K633" t="str">
        <f>INDEX([1]Sheet1!$A$1:$G$108, MATCH(B633,[1]Sheet1!$B:$B,0), 1)</f>
        <v>"4,4'-Dihydoxy-benzophenone"</v>
      </c>
      <c r="L633" t="str">
        <f>INDEX([1]Sheet1!$A$1:$G$108, MATCH(B633,[1]Sheet1!$B:$B,0), 3)</f>
        <v>weak</v>
      </c>
      <c r="M633" t="s">
        <v>109</v>
      </c>
    </row>
    <row r="634" spans="1:13" x14ac:dyDescent="0.3">
      <c r="A634" t="s">
        <v>79</v>
      </c>
      <c r="B634" t="str">
        <f>_xlfn.TEXTBEFORE(_xlfn.TEXTAFTER(A634,"cas-"),"_")</f>
        <v>611-99-4</v>
      </c>
      <c r="C634" t="s">
        <v>21</v>
      </c>
      <c r="D634" t="s">
        <v>11</v>
      </c>
      <c r="E634" t="s">
        <v>12</v>
      </c>
      <c r="F634">
        <v>-8.34</v>
      </c>
      <c r="G634">
        <v>0.90149999999999997</v>
      </c>
      <c r="H634">
        <v>6.14</v>
      </c>
      <c r="I634">
        <v>5.5352099999999993</v>
      </c>
      <c r="K634" t="str">
        <f>INDEX([1]Sheet1!$A$1:$G$108, MATCH(B634,[1]Sheet1!$B:$B,0), 1)</f>
        <v>"4,4'-Dihydoxy-benzophenone"</v>
      </c>
      <c r="L634" t="str">
        <f>INDEX([1]Sheet1!$A$1:$G$108, MATCH(B634,[1]Sheet1!$B:$B,0), 3)</f>
        <v>weak</v>
      </c>
      <c r="M634" t="s">
        <v>109</v>
      </c>
    </row>
    <row r="635" spans="1:13" x14ac:dyDescent="0.3">
      <c r="A635" t="s">
        <v>79</v>
      </c>
      <c r="B635" t="str">
        <f>_xlfn.TEXTBEFORE(_xlfn.TEXTAFTER(A635,"cas-"),"_")</f>
        <v>611-99-4</v>
      </c>
      <c r="C635" t="s">
        <v>19</v>
      </c>
      <c r="D635" t="s">
        <v>20</v>
      </c>
      <c r="E635" t="s">
        <v>12</v>
      </c>
      <c r="F635">
        <v>-7.87</v>
      </c>
      <c r="G635">
        <v>0.81059999999999999</v>
      </c>
      <c r="H635">
        <v>6.5460000000000003</v>
      </c>
      <c r="I635">
        <v>5.3061876000000003</v>
      </c>
      <c r="K635" t="str">
        <f>INDEX([1]Sheet1!$A$1:$G$108, MATCH(B635,[1]Sheet1!$B:$B,0), 1)</f>
        <v>"4,4'-Dihydoxy-benzophenone"</v>
      </c>
      <c r="L635" t="str">
        <f>INDEX([1]Sheet1!$A$1:$G$108, MATCH(B635,[1]Sheet1!$B:$B,0), 3)</f>
        <v>weak</v>
      </c>
      <c r="M635" t="s">
        <v>109</v>
      </c>
    </row>
    <row r="636" spans="1:13" x14ac:dyDescent="0.3">
      <c r="A636" t="s">
        <v>79</v>
      </c>
      <c r="B636" t="str">
        <f>_xlfn.TEXTBEFORE(_xlfn.TEXTAFTER(A636,"cas-"),"_")</f>
        <v>611-99-4</v>
      </c>
      <c r="C636" t="s">
        <v>17</v>
      </c>
      <c r="D636" t="s">
        <v>11</v>
      </c>
      <c r="E636" t="s">
        <v>12</v>
      </c>
      <c r="F636">
        <v>-8.0299999999999994</v>
      </c>
      <c r="G636">
        <v>0.7752</v>
      </c>
      <c r="H636">
        <v>6.6319999999999997</v>
      </c>
      <c r="I636">
        <v>5.1411264000000001</v>
      </c>
      <c r="K636" t="str">
        <f>INDEX([1]Sheet1!$A$1:$G$108, MATCH(B636,[1]Sheet1!$B:$B,0), 1)</f>
        <v>"4,4'-Dihydoxy-benzophenone"</v>
      </c>
      <c r="L636" t="str">
        <f>INDEX([1]Sheet1!$A$1:$G$108, MATCH(B636,[1]Sheet1!$B:$B,0), 3)</f>
        <v>weak</v>
      </c>
      <c r="M636" t="s">
        <v>109</v>
      </c>
    </row>
    <row r="637" spans="1:13" x14ac:dyDescent="0.3">
      <c r="A637" t="s">
        <v>79</v>
      </c>
      <c r="B637" t="str">
        <f>_xlfn.TEXTBEFORE(_xlfn.TEXTAFTER(A637,"cas-"),"_")</f>
        <v>611-99-4</v>
      </c>
      <c r="C637" t="s">
        <v>30</v>
      </c>
      <c r="D637" t="s">
        <v>31</v>
      </c>
      <c r="E637" t="s">
        <v>12</v>
      </c>
      <c r="F637">
        <v>-7.1</v>
      </c>
      <c r="G637">
        <v>0.82699999999999996</v>
      </c>
      <c r="H637">
        <v>6.6</v>
      </c>
      <c r="I637">
        <v>5.4581999999999997</v>
      </c>
      <c r="K637" t="str">
        <f>INDEX([1]Sheet1!$A$1:$G$108, MATCH(B637,[1]Sheet1!$B:$B,0), 1)</f>
        <v>"4,4'-Dihydoxy-benzophenone"</v>
      </c>
      <c r="L637" t="str">
        <f>INDEX([1]Sheet1!$A$1:$G$108, MATCH(B637,[1]Sheet1!$B:$B,0), 3)</f>
        <v>weak</v>
      </c>
      <c r="M637" t="s">
        <v>109</v>
      </c>
    </row>
    <row r="638" spans="1:13" x14ac:dyDescent="0.3">
      <c r="A638" t="s">
        <v>79</v>
      </c>
      <c r="B638" t="str">
        <f>_xlfn.TEXTBEFORE(_xlfn.TEXTAFTER(A638,"cas-"),"_")</f>
        <v>611-99-4</v>
      </c>
      <c r="C638" t="s">
        <v>13</v>
      </c>
      <c r="D638" t="s">
        <v>14</v>
      </c>
      <c r="E638" t="s">
        <v>12</v>
      </c>
      <c r="F638">
        <v>-7.34</v>
      </c>
      <c r="G638">
        <v>0.91020000000000001</v>
      </c>
      <c r="H638">
        <v>6.6749999999999998</v>
      </c>
      <c r="I638">
        <v>6.0755850000000002</v>
      </c>
      <c r="K638" t="str">
        <f>INDEX([1]Sheet1!$A$1:$G$108, MATCH(B638,[1]Sheet1!$B:$B,0), 1)</f>
        <v>"4,4'-Dihydoxy-benzophenone"</v>
      </c>
      <c r="L638" t="str">
        <f>INDEX([1]Sheet1!$A$1:$G$108, MATCH(B638,[1]Sheet1!$B:$B,0), 3)</f>
        <v>weak</v>
      </c>
      <c r="M638" t="s">
        <v>109</v>
      </c>
    </row>
    <row r="639" spans="1:13" x14ac:dyDescent="0.3">
      <c r="A639" t="s">
        <v>80</v>
      </c>
      <c r="B639" t="str">
        <f>_xlfn.TEXTBEFORE(_xlfn.TEXTAFTER(A639,"cas-"),"_")</f>
        <v>65118-81-2</v>
      </c>
      <c r="C639" t="s">
        <v>17</v>
      </c>
      <c r="D639" t="s">
        <v>11</v>
      </c>
      <c r="E639" t="s">
        <v>12</v>
      </c>
      <c r="F639">
        <v>-9.33</v>
      </c>
      <c r="G639">
        <v>0.96220000000000006</v>
      </c>
      <c r="H639">
        <v>7.5960000000000001</v>
      </c>
      <c r="I639">
        <v>7.3088711999999996</v>
      </c>
      <c r="K639" t="str">
        <f>INDEX([1]Sheet1!$A$1:$G$108, MATCH(B639,[1]Sheet1!$B:$B,0), 1)</f>
        <v>"a,a-Dimethyl-b-ethyl allenolic acid"</v>
      </c>
      <c r="L639" t="str">
        <f>INDEX([1]Sheet1!$A$1:$G$108, MATCH(B639,[1]Sheet1!$B:$B,0), 3)</f>
        <v>moderate</v>
      </c>
      <c r="M639" t="s">
        <v>109</v>
      </c>
    </row>
    <row r="640" spans="1:13" x14ac:dyDescent="0.3">
      <c r="A640" t="s">
        <v>80</v>
      </c>
      <c r="B640" t="str">
        <f>_xlfn.TEXTBEFORE(_xlfn.TEXTAFTER(A640,"cas-"),"_")</f>
        <v>65118-81-2</v>
      </c>
      <c r="C640" t="s">
        <v>18</v>
      </c>
      <c r="D640" t="s">
        <v>11</v>
      </c>
      <c r="E640" t="s">
        <v>12</v>
      </c>
      <c r="F640">
        <v>-9.42</v>
      </c>
      <c r="G640">
        <v>0.95230000000000004</v>
      </c>
      <c r="H640">
        <v>7.5529999999999999</v>
      </c>
      <c r="I640">
        <v>7.1927218999999996</v>
      </c>
      <c r="K640" t="str">
        <f>INDEX([1]Sheet1!$A$1:$G$108, MATCH(B640,[1]Sheet1!$B:$B,0), 1)</f>
        <v>"a,a-Dimethyl-b-ethyl allenolic acid"</v>
      </c>
      <c r="L640" t="str">
        <f>INDEX([1]Sheet1!$A$1:$G$108, MATCH(B640,[1]Sheet1!$B:$B,0), 3)</f>
        <v>moderate</v>
      </c>
      <c r="M640" t="s">
        <v>109</v>
      </c>
    </row>
    <row r="641" spans="1:13" x14ac:dyDescent="0.3">
      <c r="A641" t="s">
        <v>80</v>
      </c>
      <c r="B641" t="str">
        <f>_xlfn.TEXTBEFORE(_xlfn.TEXTAFTER(A641,"cas-"),"_")</f>
        <v>65118-81-2</v>
      </c>
      <c r="C641" t="s">
        <v>15</v>
      </c>
      <c r="D641" t="s">
        <v>16</v>
      </c>
      <c r="E641" t="s">
        <v>12</v>
      </c>
      <c r="F641">
        <v>-8.83</v>
      </c>
      <c r="G641">
        <v>0.94299999999999995</v>
      </c>
      <c r="H641">
        <v>7.3150000000000004</v>
      </c>
      <c r="I641">
        <v>6.8980449999999998</v>
      </c>
      <c r="K641" t="str">
        <f>INDEX([1]Sheet1!$A$1:$G$108, MATCH(B641,[1]Sheet1!$B:$B,0), 1)</f>
        <v>"a,a-Dimethyl-b-ethyl allenolic acid"</v>
      </c>
      <c r="L641" t="str">
        <f>INDEX([1]Sheet1!$A$1:$G$108, MATCH(B641,[1]Sheet1!$B:$B,0), 3)</f>
        <v>moderate</v>
      </c>
      <c r="M641" t="s">
        <v>109</v>
      </c>
    </row>
    <row r="642" spans="1:13" x14ac:dyDescent="0.3">
      <c r="A642" t="s">
        <v>80</v>
      </c>
      <c r="B642" t="str">
        <f>_xlfn.TEXTBEFORE(_xlfn.TEXTAFTER(A642,"cas-"),"_")</f>
        <v>65118-81-2</v>
      </c>
      <c r="C642" t="s">
        <v>19</v>
      </c>
      <c r="D642" t="s">
        <v>20</v>
      </c>
      <c r="E642" t="s">
        <v>12</v>
      </c>
      <c r="F642">
        <v>-9.9700000000000006</v>
      </c>
      <c r="G642">
        <v>0.96</v>
      </c>
      <c r="H642">
        <v>7.47</v>
      </c>
      <c r="I642">
        <v>7.1711999999999998</v>
      </c>
      <c r="K642" t="str">
        <f>INDEX([1]Sheet1!$A$1:$G$108, MATCH(B642,[1]Sheet1!$B:$B,0), 1)</f>
        <v>"a,a-Dimethyl-b-ethyl allenolic acid"</v>
      </c>
      <c r="L642" t="str">
        <f>INDEX([1]Sheet1!$A$1:$G$108, MATCH(B642,[1]Sheet1!$B:$B,0), 3)</f>
        <v>moderate</v>
      </c>
      <c r="M642" t="s">
        <v>109</v>
      </c>
    </row>
    <row r="643" spans="1:13" x14ac:dyDescent="0.3">
      <c r="A643" t="s">
        <v>80</v>
      </c>
      <c r="B643" t="str">
        <f>_xlfn.TEXTBEFORE(_xlfn.TEXTAFTER(A643,"cas-"),"_")</f>
        <v>65118-81-2</v>
      </c>
      <c r="C643" t="s">
        <v>24</v>
      </c>
      <c r="D643" t="s">
        <v>25</v>
      </c>
      <c r="E643" t="s">
        <v>12</v>
      </c>
      <c r="F643">
        <v>-9.58</v>
      </c>
      <c r="G643">
        <v>0.93279999999999996</v>
      </c>
      <c r="H643">
        <v>7.4340000000000002</v>
      </c>
      <c r="I643">
        <v>6.9344352000000002</v>
      </c>
      <c r="K643" t="str">
        <f>INDEX([1]Sheet1!$A$1:$G$108, MATCH(B643,[1]Sheet1!$B:$B,0), 1)</f>
        <v>"a,a-Dimethyl-b-ethyl allenolic acid"</v>
      </c>
      <c r="L643" t="str">
        <f>INDEX([1]Sheet1!$A$1:$G$108, MATCH(B643,[1]Sheet1!$B:$B,0), 3)</f>
        <v>moderate</v>
      </c>
      <c r="M643" t="s">
        <v>109</v>
      </c>
    </row>
    <row r="644" spans="1:13" x14ac:dyDescent="0.3">
      <c r="A644" t="s">
        <v>80</v>
      </c>
      <c r="B644" t="str">
        <f>_xlfn.TEXTBEFORE(_xlfn.TEXTAFTER(A644,"cas-"),"_")</f>
        <v>65118-81-2</v>
      </c>
      <c r="C644" t="s">
        <v>10</v>
      </c>
      <c r="D644" t="s">
        <v>11</v>
      </c>
      <c r="E644" t="s">
        <v>12</v>
      </c>
      <c r="F644">
        <v>-9.2799999999999994</v>
      </c>
      <c r="G644">
        <v>0.96489999999999998</v>
      </c>
      <c r="H644">
        <v>7.4809999999999999</v>
      </c>
      <c r="I644">
        <v>7.2184168999999994</v>
      </c>
      <c r="K644" t="str">
        <f>INDEX([1]Sheet1!$A$1:$G$108, MATCH(B644,[1]Sheet1!$B:$B,0), 1)</f>
        <v>"a,a-Dimethyl-b-ethyl allenolic acid"</v>
      </c>
      <c r="L644" t="str">
        <f>INDEX([1]Sheet1!$A$1:$G$108, MATCH(B644,[1]Sheet1!$B:$B,0), 3)</f>
        <v>moderate</v>
      </c>
      <c r="M644" t="s">
        <v>109</v>
      </c>
    </row>
    <row r="645" spans="1:13" x14ac:dyDescent="0.3">
      <c r="A645" t="s">
        <v>80</v>
      </c>
      <c r="B645" t="str">
        <f>_xlfn.TEXTBEFORE(_xlfn.TEXTAFTER(A645,"cas-"),"_")</f>
        <v>65118-81-2</v>
      </c>
      <c r="C645" t="s">
        <v>27</v>
      </c>
      <c r="D645" t="s">
        <v>11</v>
      </c>
      <c r="E645" t="s">
        <v>12</v>
      </c>
      <c r="F645">
        <v>-10.08</v>
      </c>
      <c r="G645">
        <v>0.90590000000000004</v>
      </c>
      <c r="H645">
        <v>7.6079999999999997</v>
      </c>
      <c r="I645">
        <v>6.8920871999999997</v>
      </c>
      <c r="K645" t="str">
        <f>INDEX([1]Sheet1!$A$1:$G$108, MATCH(B645,[1]Sheet1!$B:$B,0), 1)</f>
        <v>"a,a-Dimethyl-b-ethyl allenolic acid"</v>
      </c>
      <c r="L645" t="str">
        <f>INDEX([1]Sheet1!$A$1:$G$108, MATCH(B645,[1]Sheet1!$B:$B,0), 3)</f>
        <v>moderate</v>
      </c>
      <c r="M645" t="s">
        <v>109</v>
      </c>
    </row>
    <row r="646" spans="1:13" x14ac:dyDescent="0.3">
      <c r="A646" t="s">
        <v>80</v>
      </c>
      <c r="B646" t="str">
        <f>_xlfn.TEXTBEFORE(_xlfn.TEXTAFTER(A646,"cas-"),"_")</f>
        <v>65118-81-2</v>
      </c>
      <c r="C646" t="s">
        <v>26</v>
      </c>
      <c r="D646" t="s">
        <v>14</v>
      </c>
      <c r="E646" t="s">
        <v>12</v>
      </c>
      <c r="F646">
        <v>-9.64</v>
      </c>
      <c r="G646">
        <v>0.95420000000000005</v>
      </c>
      <c r="H646">
        <v>7.4580000000000002</v>
      </c>
      <c r="I646">
        <v>7.116423600000001</v>
      </c>
      <c r="K646" t="str">
        <f>INDEX([1]Sheet1!$A$1:$G$108, MATCH(B646,[1]Sheet1!$B:$B,0), 1)</f>
        <v>"a,a-Dimethyl-b-ethyl allenolic acid"</v>
      </c>
      <c r="L646" t="str">
        <f>INDEX([1]Sheet1!$A$1:$G$108, MATCH(B646,[1]Sheet1!$B:$B,0), 3)</f>
        <v>moderate</v>
      </c>
      <c r="M646" t="s">
        <v>109</v>
      </c>
    </row>
    <row r="647" spans="1:13" x14ac:dyDescent="0.3">
      <c r="A647" t="s">
        <v>80</v>
      </c>
      <c r="B647" t="str">
        <f>_xlfn.TEXTBEFORE(_xlfn.TEXTAFTER(A647,"cas-"),"_")</f>
        <v>65118-81-2</v>
      </c>
      <c r="C647" t="s">
        <v>22</v>
      </c>
      <c r="D647" t="s">
        <v>23</v>
      </c>
      <c r="E647" t="s">
        <v>12</v>
      </c>
      <c r="F647">
        <v>-9.3800000000000008</v>
      </c>
      <c r="G647">
        <v>0.93379999999999996</v>
      </c>
      <c r="H647">
        <v>7.242</v>
      </c>
      <c r="I647">
        <v>6.7625795999999996</v>
      </c>
      <c r="K647" t="str">
        <f>INDEX([1]Sheet1!$A$1:$G$108, MATCH(B647,[1]Sheet1!$B:$B,0), 1)</f>
        <v>"a,a-Dimethyl-b-ethyl allenolic acid"</v>
      </c>
      <c r="L647" t="str">
        <f>INDEX([1]Sheet1!$A$1:$G$108, MATCH(B647,[1]Sheet1!$B:$B,0), 3)</f>
        <v>moderate</v>
      </c>
      <c r="M647" t="s">
        <v>109</v>
      </c>
    </row>
    <row r="648" spans="1:13" x14ac:dyDescent="0.3">
      <c r="A648" t="s">
        <v>80</v>
      </c>
      <c r="B648" t="str">
        <f>_xlfn.TEXTBEFORE(_xlfn.TEXTAFTER(A648,"cas-"),"_")</f>
        <v>65118-81-2</v>
      </c>
      <c r="C648" t="s">
        <v>21</v>
      </c>
      <c r="D648" t="s">
        <v>11</v>
      </c>
      <c r="E648" t="s">
        <v>12</v>
      </c>
      <c r="F648">
        <v>-9.44</v>
      </c>
      <c r="G648">
        <v>0.94510000000000005</v>
      </c>
      <c r="H648">
        <v>7.2869999999999999</v>
      </c>
      <c r="I648">
        <v>6.8869437000000007</v>
      </c>
      <c r="K648" t="str">
        <f>INDEX([1]Sheet1!$A$1:$G$108, MATCH(B648,[1]Sheet1!$B:$B,0), 1)</f>
        <v>"a,a-Dimethyl-b-ethyl allenolic acid"</v>
      </c>
      <c r="L648" t="str">
        <f>INDEX([1]Sheet1!$A$1:$G$108, MATCH(B648,[1]Sheet1!$B:$B,0), 3)</f>
        <v>moderate</v>
      </c>
      <c r="M648" t="s">
        <v>109</v>
      </c>
    </row>
    <row r="649" spans="1:13" x14ac:dyDescent="0.3">
      <c r="A649" t="s">
        <v>80</v>
      </c>
      <c r="B649" t="str">
        <f>_xlfn.TEXTBEFORE(_xlfn.TEXTAFTER(A649,"cas-"),"_")</f>
        <v>65118-81-2</v>
      </c>
      <c r="C649" t="s">
        <v>13</v>
      </c>
      <c r="D649" t="s">
        <v>14</v>
      </c>
      <c r="E649" t="s">
        <v>12</v>
      </c>
      <c r="F649">
        <v>-9.6999999999999993</v>
      </c>
      <c r="G649">
        <v>0.96140000000000003</v>
      </c>
      <c r="H649">
        <v>7.7839999999999998</v>
      </c>
      <c r="I649">
        <v>7.4835376</v>
      </c>
      <c r="K649" t="str">
        <f>INDEX([1]Sheet1!$A$1:$G$108, MATCH(B649,[1]Sheet1!$B:$B,0), 1)</f>
        <v>"a,a-Dimethyl-b-ethyl allenolic acid"</v>
      </c>
      <c r="L649" t="str">
        <f>INDEX([1]Sheet1!$A$1:$G$108, MATCH(B649,[1]Sheet1!$B:$B,0), 3)</f>
        <v>moderate</v>
      </c>
      <c r="M649" t="s">
        <v>109</v>
      </c>
    </row>
    <row r="650" spans="1:13" x14ac:dyDescent="0.3">
      <c r="A650" t="s">
        <v>80</v>
      </c>
      <c r="B650" t="str">
        <f>_xlfn.TEXTBEFORE(_xlfn.TEXTAFTER(A650,"cas-"),"_")</f>
        <v>65118-81-2</v>
      </c>
      <c r="C650" t="s">
        <v>30</v>
      </c>
      <c r="D650" t="s">
        <v>31</v>
      </c>
      <c r="E650" t="s">
        <v>12</v>
      </c>
      <c r="F650">
        <v>-7.57</v>
      </c>
      <c r="G650">
        <v>0.91720000000000002</v>
      </c>
      <c r="H650">
        <v>7.4189999999999996</v>
      </c>
      <c r="I650">
        <v>6.8047067999999999</v>
      </c>
      <c r="K650" t="str">
        <f>INDEX([1]Sheet1!$A$1:$G$108, MATCH(B650,[1]Sheet1!$B:$B,0), 1)</f>
        <v>"a,a-Dimethyl-b-ethyl allenolic acid"</v>
      </c>
      <c r="L650" t="str">
        <f>INDEX([1]Sheet1!$A$1:$G$108, MATCH(B650,[1]Sheet1!$B:$B,0), 3)</f>
        <v>moderate</v>
      </c>
      <c r="M650" t="s">
        <v>109</v>
      </c>
    </row>
    <row r="651" spans="1:13" x14ac:dyDescent="0.3">
      <c r="A651" t="s">
        <v>80</v>
      </c>
      <c r="B651" t="str">
        <f>_xlfn.TEXTBEFORE(_xlfn.TEXTAFTER(A651,"cas-"),"_")</f>
        <v>65118-81-2</v>
      </c>
      <c r="C651" t="s">
        <v>28</v>
      </c>
      <c r="D651" t="s">
        <v>29</v>
      </c>
      <c r="E651" t="s">
        <v>12</v>
      </c>
      <c r="F651">
        <v>-8.6999999999999993</v>
      </c>
      <c r="G651">
        <v>0.9667</v>
      </c>
      <c r="H651">
        <v>7.5590000000000002</v>
      </c>
      <c r="I651">
        <v>7.3072853000000002</v>
      </c>
      <c r="K651" t="str">
        <f>INDEX([1]Sheet1!$A$1:$G$108, MATCH(B651,[1]Sheet1!$B:$B,0), 1)</f>
        <v>"a,a-Dimethyl-b-ethyl allenolic acid"</v>
      </c>
      <c r="L651" t="str">
        <f>INDEX([1]Sheet1!$A$1:$G$108, MATCH(B651,[1]Sheet1!$B:$B,0), 3)</f>
        <v>moderate</v>
      </c>
      <c r="M651" t="s">
        <v>109</v>
      </c>
    </row>
    <row r="652" spans="1:13" x14ac:dyDescent="0.3">
      <c r="A652" t="s">
        <v>81</v>
      </c>
      <c r="B652" t="str">
        <f>_xlfn.TEXTBEFORE(_xlfn.TEXTAFTER(A652,"cas-"),"_")</f>
        <v>6554-98-9</v>
      </c>
      <c r="C652" t="s">
        <v>22</v>
      </c>
      <c r="D652" t="s">
        <v>23</v>
      </c>
      <c r="E652" t="s">
        <v>12</v>
      </c>
      <c r="F652">
        <v>-7.52</v>
      </c>
      <c r="G652">
        <v>0.88549999999999995</v>
      </c>
      <c r="H652">
        <v>6.6840000000000002</v>
      </c>
      <c r="I652">
        <v>5.9186820000000004</v>
      </c>
      <c r="K652" t="str">
        <f>INDEX([1]Sheet1!$A$1:$G$108, MATCH(B652,[1]Sheet1!$B:$B,0), 1)</f>
        <v>Trans-4-hydroxystilbene</v>
      </c>
      <c r="L652" t="str">
        <f>INDEX([1]Sheet1!$A$1:$G$108, MATCH(B652,[1]Sheet1!$B:$B,0), 3)</f>
        <v>weak</v>
      </c>
      <c r="M652" t="s">
        <v>109</v>
      </c>
    </row>
    <row r="653" spans="1:13" x14ac:dyDescent="0.3">
      <c r="A653" t="s">
        <v>81</v>
      </c>
      <c r="B653" t="str">
        <f>_xlfn.TEXTBEFORE(_xlfn.TEXTAFTER(A653,"cas-"),"_")</f>
        <v>6554-98-9</v>
      </c>
      <c r="C653" t="s">
        <v>19</v>
      </c>
      <c r="D653" t="s">
        <v>20</v>
      </c>
      <c r="E653" t="s">
        <v>12</v>
      </c>
      <c r="F653">
        <v>-7.83</v>
      </c>
      <c r="G653">
        <v>0.91500000000000004</v>
      </c>
      <c r="H653">
        <v>6.548</v>
      </c>
      <c r="I653">
        <v>5.9914200000000006</v>
      </c>
      <c r="K653" t="str">
        <f>INDEX([1]Sheet1!$A$1:$G$108, MATCH(B653,[1]Sheet1!$B:$B,0), 1)</f>
        <v>Trans-4-hydroxystilbene</v>
      </c>
      <c r="L653" t="str">
        <f>INDEX([1]Sheet1!$A$1:$G$108, MATCH(B653,[1]Sheet1!$B:$B,0), 3)</f>
        <v>weak</v>
      </c>
      <c r="M653" t="s">
        <v>109</v>
      </c>
    </row>
    <row r="654" spans="1:13" x14ac:dyDescent="0.3">
      <c r="A654" t="s">
        <v>81</v>
      </c>
      <c r="B654" t="str">
        <f>_xlfn.TEXTBEFORE(_xlfn.TEXTAFTER(A654,"cas-"),"_")</f>
        <v>6554-98-9</v>
      </c>
      <c r="C654" t="s">
        <v>30</v>
      </c>
      <c r="D654" t="s">
        <v>31</v>
      </c>
      <c r="E654" t="s">
        <v>12</v>
      </c>
      <c r="F654">
        <v>-6.68</v>
      </c>
      <c r="G654">
        <v>0.90159999999999996</v>
      </c>
      <c r="H654">
        <v>7.0170000000000003</v>
      </c>
      <c r="I654">
        <v>6.3265272000000001</v>
      </c>
      <c r="K654" t="str">
        <f>INDEX([1]Sheet1!$A$1:$G$108, MATCH(B654,[1]Sheet1!$B:$B,0), 1)</f>
        <v>Trans-4-hydroxystilbene</v>
      </c>
      <c r="L654" t="str">
        <f>INDEX([1]Sheet1!$A$1:$G$108, MATCH(B654,[1]Sheet1!$B:$B,0), 3)</f>
        <v>weak</v>
      </c>
      <c r="M654" t="s">
        <v>109</v>
      </c>
    </row>
    <row r="655" spans="1:13" x14ac:dyDescent="0.3">
      <c r="A655" t="s">
        <v>81</v>
      </c>
      <c r="B655" t="str">
        <f>_xlfn.TEXTBEFORE(_xlfn.TEXTAFTER(A655,"cas-"),"_")</f>
        <v>6554-98-9</v>
      </c>
      <c r="C655" t="s">
        <v>13</v>
      </c>
      <c r="D655" t="s">
        <v>14</v>
      </c>
      <c r="E655" t="s">
        <v>12</v>
      </c>
      <c r="F655">
        <v>-8.0500000000000007</v>
      </c>
      <c r="G655">
        <v>0.9456</v>
      </c>
      <c r="H655">
        <v>7.0789999999999997</v>
      </c>
      <c r="I655">
        <v>6.6939023999999998</v>
      </c>
      <c r="K655" t="str">
        <f>INDEX([1]Sheet1!$A$1:$G$108, MATCH(B655,[1]Sheet1!$B:$B,0), 1)</f>
        <v>Trans-4-hydroxystilbene</v>
      </c>
      <c r="L655" t="str">
        <f>INDEX([1]Sheet1!$A$1:$G$108, MATCH(B655,[1]Sheet1!$B:$B,0), 3)</f>
        <v>weak</v>
      </c>
      <c r="M655" t="s">
        <v>109</v>
      </c>
    </row>
    <row r="656" spans="1:13" x14ac:dyDescent="0.3">
      <c r="A656" t="s">
        <v>81</v>
      </c>
      <c r="B656" t="str">
        <f>_xlfn.TEXTBEFORE(_xlfn.TEXTAFTER(A656,"cas-"),"_")</f>
        <v>6554-98-9</v>
      </c>
      <c r="C656" t="s">
        <v>21</v>
      </c>
      <c r="D656" t="s">
        <v>11</v>
      </c>
      <c r="E656" t="s">
        <v>12</v>
      </c>
      <c r="F656">
        <v>-7.72</v>
      </c>
      <c r="G656">
        <v>0.9052</v>
      </c>
      <c r="H656">
        <v>6.9409999999999998</v>
      </c>
      <c r="I656">
        <v>6.2829931999999999</v>
      </c>
      <c r="K656" t="str">
        <f>INDEX([1]Sheet1!$A$1:$G$108, MATCH(B656,[1]Sheet1!$B:$B,0), 1)</f>
        <v>Trans-4-hydroxystilbene</v>
      </c>
      <c r="L656" t="str">
        <f>INDEX([1]Sheet1!$A$1:$G$108, MATCH(B656,[1]Sheet1!$B:$B,0), 3)</f>
        <v>weak</v>
      </c>
      <c r="M656" t="s">
        <v>109</v>
      </c>
    </row>
    <row r="657" spans="1:13" x14ac:dyDescent="0.3">
      <c r="A657" t="s">
        <v>81</v>
      </c>
      <c r="B657" t="str">
        <f>_xlfn.TEXTBEFORE(_xlfn.TEXTAFTER(A657,"cas-"),"_")</f>
        <v>6554-98-9</v>
      </c>
      <c r="C657" t="s">
        <v>17</v>
      </c>
      <c r="D657" t="s">
        <v>11</v>
      </c>
      <c r="E657" t="s">
        <v>12</v>
      </c>
      <c r="F657">
        <v>-7.7</v>
      </c>
      <c r="G657">
        <v>0.90059999999999996</v>
      </c>
      <c r="H657">
        <v>7.0629999999999997</v>
      </c>
      <c r="I657">
        <v>6.3609377999999994</v>
      </c>
      <c r="K657" t="str">
        <f>INDEX([1]Sheet1!$A$1:$G$108, MATCH(B657,[1]Sheet1!$B:$B,0), 1)</f>
        <v>Trans-4-hydroxystilbene</v>
      </c>
      <c r="L657" t="str">
        <f>INDEX([1]Sheet1!$A$1:$G$108, MATCH(B657,[1]Sheet1!$B:$B,0), 3)</f>
        <v>weak</v>
      </c>
      <c r="M657" t="s">
        <v>109</v>
      </c>
    </row>
    <row r="658" spans="1:13" x14ac:dyDescent="0.3">
      <c r="A658" t="s">
        <v>81</v>
      </c>
      <c r="B658" t="str">
        <f>_xlfn.TEXTBEFORE(_xlfn.TEXTAFTER(A658,"cas-"),"_")</f>
        <v>6554-98-9</v>
      </c>
      <c r="C658" t="s">
        <v>26</v>
      </c>
      <c r="D658" t="s">
        <v>14</v>
      </c>
      <c r="E658" t="s">
        <v>12</v>
      </c>
      <c r="F658">
        <v>-7.95</v>
      </c>
      <c r="G658">
        <v>0.93600000000000005</v>
      </c>
      <c r="H658">
        <v>6.649</v>
      </c>
      <c r="I658">
        <v>6.2234640000000008</v>
      </c>
      <c r="K658" t="str">
        <f>INDEX([1]Sheet1!$A$1:$G$108, MATCH(B658,[1]Sheet1!$B:$B,0), 1)</f>
        <v>Trans-4-hydroxystilbene</v>
      </c>
      <c r="L658" t="str">
        <f>INDEX([1]Sheet1!$A$1:$G$108, MATCH(B658,[1]Sheet1!$B:$B,0), 3)</f>
        <v>weak</v>
      </c>
      <c r="M658" t="s">
        <v>109</v>
      </c>
    </row>
    <row r="659" spans="1:13" x14ac:dyDescent="0.3">
      <c r="A659" t="s">
        <v>81</v>
      </c>
      <c r="B659" t="str">
        <f>_xlfn.TEXTBEFORE(_xlfn.TEXTAFTER(A659,"cas-"),"_")</f>
        <v>6554-98-9</v>
      </c>
      <c r="C659" t="s">
        <v>27</v>
      </c>
      <c r="D659" t="s">
        <v>11</v>
      </c>
      <c r="E659" t="s">
        <v>12</v>
      </c>
      <c r="F659">
        <v>-8.32</v>
      </c>
      <c r="G659">
        <v>0.89939999999999998</v>
      </c>
      <c r="H659">
        <v>7.0960000000000001</v>
      </c>
      <c r="I659">
        <v>6.3821424000000002</v>
      </c>
      <c r="K659" t="str">
        <f>INDEX([1]Sheet1!$A$1:$G$108, MATCH(B659,[1]Sheet1!$B:$B,0), 1)</f>
        <v>Trans-4-hydroxystilbene</v>
      </c>
      <c r="L659" t="str">
        <f>INDEX([1]Sheet1!$A$1:$G$108, MATCH(B659,[1]Sheet1!$B:$B,0), 3)</f>
        <v>weak</v>
      </c>
      <c r="M659" t="s">
        <v>109</v>
      </c>
    </row>
    <row r="660" spans="1:13" x14ac:dyDescent="0.3">
      <c r="A660" t="s">
        <v>81</v>
      </c>
      <c r="B660" t="str">
        <f>_xlfn.TEXTBEFORE(_xlfn.TEXTAFTER(A660,"cas-"),"_")</f>
        <v>6554-98-9</v>
      </c>
      <c r="C660" t="s">
        <v>15</v>
      </c>
      <c r="D660" t="s">
        <v>16</v>
      </c>
      <c r="E660" t="s">
        <v>12</v>
      </c>
      <c r="F660">
        <v>-7.46</v>
      </c>
      <c r="G660">
        <v>0.8629</v>
      </c>
      <c r="H660">
        <v>6.2640000000000002</v>
      </c>
      <c r="I660">
        <v>5.4052056000000004</v>
      </c>
      <c r="K660" t="str">
        <f>INDEX([1]Sheet1!$A$1:$G$108, MATCH(B660,[1]Sheet1!$B:$B,0), 1)</f>
        <v>Trans-4-hydroxystilbene</v>
      </c>
      <c r="L660" t="str">
        <f>INDEX([1]Sheet1!$A$1:$G$108, MATCH(B660,[1]Sheet1!$B:$B,0), 3)</f>
        <v>weak</v>
      </c>
      <c r="M660" t="s">
        <v>109</v>
      </c>
    </row>
    <row r="661" spans="1:13" x14ac:dyDescent="0.3">
      <c r="A661" t="s">
        <v>81</v>
      </c>
      <c r="B661" t="str">
        <f>_xlfn.TEXTBEFORE(_xlfn.TEXTAFTER(A661,"cas-"),"_")</f>
        <v>6554-98-9</v>
      </c>
      <c r="C661" t="s">
        <v>28</v>
      </c>
      <c r="D661" t="s">
        <v>29</v>
      </c>
      <c r="E661" t="s">
        <v>12</v>
      </c>
      <c r="F661">
        <v>-7.44</v>
      </c>
      <c r="G661">
        <v>0.89149999999999996</v>
      </c>
      <c r="H661">
        <v>6.673</v>
      </c>
      <c r="I661">
        <v>5.9489795000000001</v>
      </c>
      <c r="K661" t="str">
        <f>INDEX([1]Sheet1!$A$1:$G$108, MATCH(B661,[1]Sheet1!$B:$B,0), 1)</f>
        <v>Trans-4-hydroxystilbene</v>
      </c>
      <c r="L661" t="str">
        <f>INDEX([1]Sheet1!$A$1:$G$108, MATCH(B661,[1]Sheet1!$B:$B,0), 3)</f>
        <v>weak</v>
      </c>
      <c r="M661" t="s">
        <v>109</v>
      </c>
    </row>
    <row r="662" spans="1:13" x14ac:dyDescent="0.3">
      <c r="A662" t="s">
        <v>81</v>
      </c>
      <c r="B662" t="str">
        <f>_xlfn.TEXTBEFORE(_xlfn.TEXTAFTER(A662,"cas-"),"_")</f>
        <v>6554-98-9</v>
      </c>
      <c r="C662" t="s">
        <v>18</v>
      </c>
      <c r="D662" t="s">
        <v>11</v>
      </c>
      <c r="E662" t="s">
        <v>12</v>
      </c>
      <c r="F662">
        <v>-7.7</v>
      </c>
      <c r="G662">
        <v>0.91400000000000003</v>
      </c>
      <c r="H662">
        <v>6.8849999999999998</v>
      </c>
      <c r="I662">
        <v>6.2928899999999999</v>
      </c>
      <c r="K662" t="str">
        <f>INDEX([1]Sheet1!$A$1:$G$108, MATCH(B662,[1]Sheet1!$B:$B,0), 1)</f>
        <v>Trans-4-hydroxystilbene</v>
      </c>
      <c r="L662" t="str">
        <f>INDEX([1]Sheet1!$A$1:$G$108, MATCH(B662,[1]Sheet1!$B:$B,0), 3)</f>
        <v>weak</v>
      </c>
      <c r="M662" t="s">
        <v>109</v>
      </c>
    </row>
    <row r="663" spans="1:13" x14ac:dyDescent="0.3">
      <c r="A663" t="s">
        <v>81</v>
      </c>
      <c r="B663" t="str">
        <f>_xlfn.TEXTBEFORE(_xlfn.TEXTAFTER(A663,"cas-"),"_")</f>
        <v>6554-98-9</v>
      </c>
      <c r="C663" t="s">
        <v>24</v>
      </c>
      <c r="D663" t="s">
        <v>25</v>
      </c>
      <c r="E663" t="s">
        <v>12</v>
      </c>
      <c r="F663">
        <v>-7.54</v>
      </c>
      <c r="G663">
        <v>0.88880000000000003</v>
      </c>
      <c r="H663">
        <v>6.8840000000000003</v>
      </c>
      <c r="I663">
        <v>6.1184991999999996</v>
      </c>
      <c r="K663" t="str">
        <f>INDEX([1]Sheet1!$A$1:$G$108, MATCH(B663,[1]Sheet1!$B:$B,0), 1)</f>
        <v>Trans-4-hydroxystilbene</v>
      </c>
      <c r="L663" t="str">
        <f>INDEX([1]Sheet1!$A$1:$G$108, MATCH(B663,[1]Sheet1!$B:$B,0), 3)</f>
        <v>weak</v>
      </c>
      <c r="M663" t="s">
        <v>109</v>
      </c>
    </row>
    <row r="664" spans="1:13" x14ac:dyDescent="0.3">
      <c r="A664" t="s">
        <v>81</v>
      </c>
      <c r="B664" t="str">
        <f>_xlfn.TEXTBEFORE(_xlfn.TEXTAFTER(A664,"cas-"),"_")</f>
        <v>6554-98-9</v>
      </c>
      <c r="C664" t="s">
        <v>10</v>
      </c>
      <c r="D664" t="s">
        <v>11</v>
      </c>
      <c r="E664" t="s">
        <v>12</v>
      </c>
      <c r="F664">
        <v>-7.75</v>
      </c>
      <c r="G664">
        <v>0.91459999999999997</v>
      </c>
      <c r="H664">
        <v>6.9260000000000002</v>
      </c>
      <c r="I664">
        <v>6.3345196000000001</v>
      </c>
      <c r="K664" t="str">
        <f>INDEX([1]Sheet1!$A$1:$G$108, MATCH(B664,[1]Sheet1!$B:$B,0), 1)</f>
        <v>Trans-4-hydroxystilbene</v>
      </c>
      <c r="L664" t="str">
        <f>INDEX([1]Sheet1!$A$1:$G$108, MATCH(B664,[1]Sheet1!$B:$B,0), 3)</f>
        <v>weak</v>
      </c>
      <c r="M664" t="s">
        <v>109</v>
      </c>
    </row>
    <row r="665" spans="1:13" x14ac:dyDescent="0.3">
      <c r="A665" t="s">
        <v>82</v>
      </c>
      <c r="B665" t="str">
        <f>_xlfn.TEXTBEFORE(_xlfn.TEXTAFTER(A665,"cas-"),"_")</f>
        <v>659-22-3</v>
      </c>
      <c r="C665" t="s">
        <v>28</v>
      </c>
      <c r="D665" t="s">
        <v>29</v>
      </c>
      <c r="E665" t="s">
        <v>12</v>
      </c>
      <c r="F665">
        <v>-7.24</v>
      </c>
      <c r="G665">
        <v>0.7984</v>
      </c>
      <c r="H665">
        <v>6.9180000000000001</v>
      </c>
      <c r="I665">
        <v>5.5233312000000003</v>
      </c>
      <c r="K665" t="str">
        <f>INDEX([1]Sheet1!$A$1:$G$108, MATCH(B665,[1]Sheet1!$B:$B,0), 1)</f>
        <v>"4,4'-Dihydroxystilbene"</v>
      </c>
      <c r="L665" t="str">
        <f>INDEX([1]Sheet1!$A$1:$G$108, MATCH(B665,[1]Sheet1!$B:$B,0), 3)</f>
        <v>moderate</v>
      </c>
      <c r="M665" t="s">
        <v>109</v>
      </c>
    </row>
    <row r="666" spans="1:13" x14ac:dyDescent="0.3">
      <c r="A666" t="s">
        <v>82</v>
      </c>
      <c r="B666" t="str">
        <f>_xlfn.TEXTBEFORE(_xlfn.TEXTAFTER(A666,"cas-"),"_")</f>
        <v>659-22-3</v>
      </c>
      <c r="C666" t="s">
        <v>24</v>
      </c>
      <c r="D666" t="s">
        <v>25</v>
      </c>
      <c r="E666" t="s">
        <v>12</v>
      </c>
      <c r="F666">
        <v>-7.88</v>
      </c>
      <c r="G666">
        <v>0.87870000000000004</v>
      </c>
      <c r="H666">
        <v>7.4329999999999998</v>
      </c>
      <c r="I666">
        <v>6.5313771000000003</v>
      </c>
      <c r="K666" t="str">
        <f>INDEX([1]Sheet1!$A$1:$G$108, MATCH(B666,[1]Sheet1!$B:$B,0), 1)</f>
        <v>"4,4'-Dihydroxystilbene"</v>
      </c>
      <c r="L666" t="str">
        <f>INDEX([1]Sheet1!$A$1:$G$108, MATCH(B666,[1]Sheet1!$B:$B,0), 3)</f>
        <v>moderate</v>
      </c>
      <c r="M666" t="s">
        <v>109</v>
      </c>
    </row>
    <row r="667" spans="1:13" x14ac:dyDescent="0.3">
      <c r="A667" t="s">
        <v>82</v>
      </c>
      <c r="B667" t="str">
        <f>_xlfn.TEXTBEFORE(_xlfn.TEXTAFTER(A667,"cas-"),"_")</f>
        <v>659-22-3</v>
      </c>
      <c r="C667" t="s">
        <v>19</v>
      </c>
      <c r="D667" t="s">
        <v>20</v>
      </c>
      <c r="E667" t="s">
        <v>12</v>
      </c>
      <c r="F667">
        <v>-8.27</v>
      </c>
      <c r="G667">
        <v>0.93269999999999997</v>
      </c>
      <c r="H667">
        <v>7.2030000000000003</v>
      </c>
      <c r="I667">
        <v>6.7182380999999998</v>
      </c>
      <c r="K667" t="str">
        <f>INDEX([1]Sheet1!$A$1:$G$108, MATCH(B667,[1]Sheet1!$B:$B,0), 1)</f>
        <v>"4,4'-Dihydroxystilbene"</v>
      </c>
      <c r="L667" t="str">
        <f>INDEX([1]Sheet1!$A$1:$G$108, MATCH(B667,[1]Sheet1!$B:$B,0), 3)</f>
        <v>moderate</v>
      </c>
      <c r="M667" t="s">
        <v>109</v>
      </c>
    </row>
    <row r="668" spans="1:13" x14ac:dyDescent="0.3">
      <c r="A668" t="s">
        <v>82</v>
      </c>
      <c r="B668" t="str">
        <f>_xlfn.TEXTBEFORE(_xlfn.TEXTAFTER(A668,"cas-"),"_")</f>
        <v>659-22-3</v>
      </c>
      <c r="C668" t="s">
        <v>13</v>
      </c>
      <c r="D668" t="s">
        <v>14</v>
      </c>
      <c r="E668" t="s">
        <v>12</v>
      </c>
      <c r="F668">
        <v>-8.66</v>
      </c>
      <c r="G668">
        <v>0.95689999999999997</v>
      </c>
      <c r="H668">
        <v>7.5339999999999998</v>
      </c>
      <c r="I668">
        <v>7.2092845999999993</v>
      </c>
      <c r="K668" t="str">
        <f>INDEX([1]Sheet1!$A$1:$G$108, MATCH(B668,[1]Sheet1!$B:$B,0), 1)</f>
        <v>"4,4'-Dihydroxystilbene"</v>
      </c>
      <c r="L668" t="str">
        <f>INDEX([1]Sheet1!$A$1:$G$108, MATCH(B668,[1]Sheet1!$B:$B,0), 3)</f>
        <v>moderate</v>
      </c>
      <c r="M668" t="s">
        <v>109</v>
      </c>
    </row>
    <row r="669" spans="1:13" x14ac:dyDescent="0.3">
      <c r="A669" t="s">
        <v>82</v>
      </c>
      <c r="B669" t="str">
        <f>_xlfn.TEXTBEFORE(_xlfn.TEXTAFTER(A669,"cas-"),"_")</f>
        <v>659-22-3</v>
      </c>
      <c r="C669" t="s">
        <v>15</v>
      </c>
      <c r="D669" t="s">
        <v>16</v>
      </c>
      <c r="E669" t="s">
        <v>12</v>
      </c>
      <c r="F669">
        <v>-8.48</v>
      </c>
      <c r="G669">
        <v>0.87460000000000004</v>
      </c>
      <c r="H669">
        <v>7.2119999999999997</v>
      </c>
      <c r="I669">
        <v>6.3076151999999999</v>
      </c>
      <c r="K669" t="str">
        <f>INDEX([1]Sheet1!$A$1:$G$108, MATCH(B669,[1]Sheet1!$B:$B,0), 1)</f>
        <v>"4,4'-Dihydroxystilbene"</v>
      </c>
      <c r="L669" t="str">
        <f>INDEX([1]Sheet1!$A$1:$G$108, MATCH(B669,[1]Sheet1!$B:$B,0), 3)</f>
        <v>moderate</v>
      </c>
      <c r="M669" t="s">
        <v>109</v>
      </c>
    </row>
    <row r="670" spans="1:13" x14ac:dyDescent="0.3">
      <c r="A670" t="s">
        <v>82</v>
      </c>
      <c r="B670" t="str">
        <f>_xlfn.TEXTBEFORE(_xlfn.TEXTAFTER(A670,"cas-"),"_")</f>
        <v>659-22-3</v>
      </c>
      <c r="C670" t="s">
        <v>27</v>
      </c>
      <c r="D670" t="s">
        <v>11</v>
      </c>
      <c r="E670" t="s">
        <v>12</v>
      </c>
      <c r="F670">
        <v>-8.09</v>
      </c>
      <c r="G670">
        <v>0.85340000000000005</v>
      </c>
      <c r="H670">
        <v>7.1769999999999996</v>
      </c>
      <c r="I670">
        <v>6.1248518000000001</v>
      </c>
      <c r="K670" t="str">
        <f>INDEX([1]Sheet1!$A$1:$G$108, MATCH(B670,[1]Sheet1!$B:$B,0), 1)</f>
        <v>"4,4'-Dihydroxystilbene"</v>
      </c>
      <c r="L670" t="str">
        <f>INDEX([1]Sheet1!$A$1:$G$108, MATCH(B670,[1]Sheet1!$B:$B,0), 3)</f>
        <v>moderate</v>
      </c>
      <c r="M670" t="s">
        <v>109</v>
      </c>
    </row>
    <row r="671" spans="1:13" x14ac:dyDescent="0.3">
      <c r="A671" t="s">
        <v>82</v>
      </c>
      <c r="B671" t="str">
        <f>_xlfn.TEXTBEFORE(_xlfn.TEXTAFTER(A671,"cas-"),"_")</f>
        <v>659-22-3</v>
      </c>
      <c r="C671" t="s">
        <v>26</v>
      </c>
      <c r="D671" t="s">
        <v>14</v>
      </c>
      <c r="E671" t="s">
        <v>12</v>
      </c>
      <c r="F671">
        <v>-8.5299999999999994</v>
      </c>
      <c r="G671">
        <v>0.95689999999999997</v>
      </c>
      <c r="H671">
        <v>7.0970000000000004</v>
      </c>
      <c r="I671">
        <v>6.7911193000000001</v>
      </c>
      <c r="K671" t="str">
        <f>INDEX([1]Sheet1!$A$1:$G$108, MATCH(B671,[1]Sheet1!$B:$B,0), 1)</f>
        <v>"4,4'-Dihydroxystilbene"</v>
      </c>
      <c r="L671" t="str">
        <f>INDEX([1]Sheet1!$A$1:$G$108, MATCH(B671,[1]Sheet1!$B:$B,0), 3)</f>
        <v>moderate</v>
      </c>
      <c r="M671" t="s">
        <v>109</v>
      </c>
    </row>
    <row r="672" spans="1:13" x14ac:dyDescent="0.3">
      <c r="A672" t="s">
        <v>82</v>
      </c>
      <c r="B672" t="str">
        <f>_xlfn.TEXTBEFORE(_xlfn.TEXTAFTER(A672,"cas-"),"_")</f>
        <v>659-22-3</v>
      </c>
      <c r="C672" t="s">
        <v>21</v>
      </c>
      <c r="D672" t="s">
        <v>11</v>
      </c>
      <c r="E672" t="s">
        <v>12</v>
      </c>
      <c r="F672">
        <v>-8.1</v>
      </c>
      <c r="G672">
        <v>0.8962</v>
      </c>
      <c r="H672">
        <v>7.3419999999999996</v>
      </c>
      <c r="I672">
        <v>6.5799003999999996</v>
      </c>
      <c r="K672" t="str">
        <f>INDEX([1]Sheet1!$A$1:$G$108, MATCH(B672,[1]Sheet1!$B:$B,0), 1)</f>
        <v>"4,4'-Dihydroxystilbene"</v>
      </c>
      <c r="L672" t="str">
        <f>INDEX([1]Sheet1!$A$1:$G$108, MATCH(B672,[1]Sheet1!$B:$B,0), 3)</f>
        <v>moderate</v>
      </c>
      <c r="M672" t="s">
        <v>109</v>
      </c>
    </row>
    <row r="673" spans="1:13" x14ac:dyDescent="0.3">
      <c r="A673" t="s">
        <v>82</v>
      </c>
      <c r="B673" t="str">
        <f>_xlfn.TEXTBEFORE(_xlfn.TEXTAFTER(A673,"cas-"),"_")</f>
        <v>659-22-3</v>
      </c>
      <c r="C673" t="s">
        <v>10</v>
      </c>
      <c r="D673" t="s">
        <v>11</v>
      </c>
      <c r="E673" t="s">
        <v>12</v>
      </c>
      <c r="F673">
        <v>-7.97</v>
      </c>
      <c r="G673">
        <v>0.88800000000000001</v>
      </c>
      <c r="H673">
        <v>7.274</v>
      </c>
      <c r="I673">
        <v>6.4593119999999997</v>
      </c>
      <c r="K673" t="str">
        <f>INDEX([1]Sheet1!$A$1:$G$108, MATCH(B673,[1]Sheet1!$B:$B,0), 1)</f>
        <v>"4,4'-Dihydroxystilbene"</v>
      </c>
      <c r="L673" t="str">
        <f>INDEX([1]Sheet1!$A$1:$G$108, MATCH(B673,[1]Sheet1!$B:$B,0), 3)</f>
        <v>moderate</v>
      </c>
      <c r="M673" t="s">
        <v>109</v>
      </c>
    </row>
    <row r="674" spans="1:13" x14ac:dyDescent="0.3">
      <c r="A674" t="s">
        <v>82</v>
      </c>
      <c r="B674" t="str">
        <f>_xlfn.TEXTBEFORE(_xlfn.TEXTAFTER(A674,"cas-"),"_")</f>
        <v>659-22-3</v>
      </c>
      <c r="C674" t="s">
        <v>18</v>
      </c>
      <c r="D674" t="s">
        <v>11</v>
      </c>
      <c r="E674" t="s">
        <v>12</v>
      </c>
      <c r="F674">
        <v>-7.93</v>
      </c>
      <c r="G674">
        <v>0.89710000000000001</v>
      </c>
      <c r="H674">
        <v>7.3559999999999999</v>
      </c>
      <c r="I674">
        <v>6.5990675999999997</v>
      </c>
      <c r="K674" t="str">
        <f>INDEX([1]Sheet1!$A$1:$G$108, MATCH(B674,[1]Sheet1!$B:$B,0), 1)</f>
        <v>"4,4'-Dihydroxystilbene"</v>
      </c>
      <c r="L674" t="str">
        <f>INDEX([1]Sheet1!$A$1:$G$108, MATCH(B674,[1]Sheet1!$B:$B,0), 3)</f>
        <v>moderate</v>
      </c>
      <c r="M674" t="s">
        <v>109</v>
      </c>
    </row>
    <row r="675" spans="1:13" x14ac:dyDescent="0.3">
      <c r="A675" t="s">
        <v>82</v>
      </c>
      <c r="B675" t="str">
        <f>_xlfn.TEXTBEFORE(_xlfn.TEXTAFTER(A675,"cas-"),"_")</f>
        <v>659-22-3</v>
      </c>
      <c r="C675" t="s">
        <v>30</v>
      </c>
      <c r="D675" t="s">
        <v>31</v>
      </c>
      <c r="E675" t="s">
        <v>12</v>
      </c>
      <c r="F675">
        <v>-6</v>
      </c>
      <c r="G675">
        <v>0.84240000000000004</v>
      </c>
      <c r="H675">
        <v>7.1890000000000001</v>
      </c>
      <c r="I675">
        <v>6.0560136</v>
      </c>
      <c r="K675" t="str">
        <f>INDEX([1]Sheet1!$A$1:$G$108, MATCH(B675,[1]Sheet1!$B:$B,0), 1)</f>
        <v>"4,4'-Dihydroxystilbene"</v>
      </c>
      <c r="L675" t="str">
        <f>INDEX([1]Sheet1!$A$1:$G$108, MATCH(B675,[1]Sheet1!$B:$B,0), 3)</f>
        <v>moderate</v>
      </c>
      <c r="M675" t="s">
        <v>109</v>
      </c>
    </row>
    <row r="676" spans="1:13" x14ac:dyDescent="0.3">
      <c r="A676" t="s">
        <v>82</v>
      </c>
      <c r="B676" t="str">
        <f>_xlfn.TEXTBEFORE(_xlfn.TEXTAFTER(A676,"cas-"),"_")</f>
        <v>659-22-3</v>
      </c>
      <c r="C676" t="s">
        <v>22</v>
      </c>
      <c r="D676" t="s">
        <v>23</v>
      </c>
      <c r="E676" t="s">
        <v>12</v>
      </c>
      <c r="F676">
        <v>-8.3000000000000007</v>
      </c>
      <c r="G676">
        <v>0.8206</v>
      </c>
      <c r="H676">
        <v>6.5030000000000001</v>
      </c>
      <c r="I676">
        <v>5.3363617999999997</v>
      </c>
      <c r="K676" t="str">
        <f>INDEX([1]Sheet1!$A$1:$G$108, MATCH(B676,[1]Sheet1!$B:$B,0), 1)</f>
        <v>"4,4'-Dihydroxystilbene"</v>
      </c>
      <c r="L676" t="str">
        <f>INDEX([1]Sheet1!$A$1:$G$108, MATCH(B676,[1]Sheet1!$B:$B,0), 3)</f>
        <v>moderate</v>
      </c>
      <c r="M676" t="s">
        <v>109</v>
      </c>
    </row>
    <row r="677" spans="1:13" x14ac:dyDescent="0.3">
      <c r="A677" t="s">
        <v>82</v>
      </c>
      <c r="B677" t="str">
        <f>_xlfn.TEXTBEFORE(_xlfn.TEXTAFTER(A677,"cas-"),"_")</f>
        <v>659-22-3</v>
      </c>
      <c r="C677" t="s">
        <v>17</v>
      </c>
      <c r="D677" t="s">
        <v>11</v>
      </c>
      <c r="E677" t="s">
        <v>12</v>
      </c>
      <c r="F677">
        <v>-7.2</v>
      </c>
      <c r="G677">
        <v>0.87190000000000001</v>
      </c>
      <c r="H677">
        <v>7.4880000000000004</v>
      </c>
      <c r="I677">
        <v>6.5287872</v>
      </c>
      <c r="K677" t="str">
        <f>INDEX([1]Sheet1!$A$1:$G$108, MATCH(B677,[1]Sheet1!$B:$B,0), 1)</f>
        <v>"4,4'-Dihydroxystilbene"</v>
      </c>
      <c r="L677" t="str">
        <f>INDEX([1]Sheet1!$A$1:$G$108, MATCH(B677,[1]Sheet1!$B:$B,0), 3)</f>
        <v>moderate</v>
      </c>
      <c r="M677" t="s">
        <v>109</v>
      </c>
    </row>
    <row r="678" spans="1:13" x14ac:dyDescent="0.3">
      <c r="A678" t="s">
        <v>83</v>
      </c>
      <c r="B678" t="str">
        <f>_xlfn.TEXTBEFORE(_xlfn.TEXTAFTER(A678,"cas-"),"_")</f>
        <v>67651-34-7</v>
      </c>
      <c r="C678" t="s">
        <v>10</v>
      </c>
      <c r="D678" t="s">
        <v>11</v>
      </c>
      <c r="E678" t="s">
        <v>12</v>
      </c>
      <c r="F678">
        <v>-8.85</v>
      </c>
      <c r="G678">
        <v>0.98599999999999999</v>
      </c>
      <c r="H678">
        <v>8.1150000000000002</v>
      </c>
      <c r="I678">
        <v>8.0013900000000007</v>
      </c>
      <c r="K678" t="str">
        <f>INDEX([1]Sheet1!$A$1:$G$108, MATCH(B678,[1]Sheet1!$B:$B,0), 1)</f>
        <v>"2,3,4,5-Tetrachloro-4'-biphenylol"</v>
      </c>
      <c r="L678" t="str">
        <f>INDEX([1]Sheet1!$A$1:$G$108, MATCH(B678,[1]Sheet1!$B:$B,0), 3)</f>
        <v>moderate</v>
      </c>
      <c r="M678" t="s">
        <v>109</v>
      </c>
    </row>
    <row r="679" spans="1:13" x14ac:dyDescent="0.3">
      <c r="A679" t="s">
        <v>83</v>
      </c>
      <c r="B679" t="str">
        <f>_xlfn.TEXTBEFORE(_xlfn.TEXTAFTER(A679,"cas-"),"_")</f>
        <v>67651-34-7</v>
      </c>
      <c r="C679" t="s">
        <v>27</v>
      </c>
      <c r="D679" t="s">
        <v>11</v>
      </c>
      <c r="E679" t="s">
        <v>12</v>
      </c>
      <c r="F679">
        <v>-9.2899999999999991</v>
      </c>
      <c r="G679">
        <v>0.98519999999999996</v>
      </c>
      <c r="H679">
        <v>8.3539999999999992</v>
      </c>
      <c r="I679">
        <v>8.2303607999999997</v>
      </c>
      <c r="K679" t="str">
        <f>INDEX([1]Sheet1!$A$1:$G$108, MATCH(B679,[1]Sheet1!$B:$B,0), 1)</f>
        <v>"2,3,4,5-Tetrachloro-4'-biphenylol"</v>
      </c>
      <c r="L679" t="str">
        <f>INDEX([1]Sheet1!$A$1:$G$108, MATCH(B679,[1]Sheet1!$B:$B,0), 3)</f>
        <v>moderate</v>
      </c>
      <c r="M679" t="s">
        <v>109</v>
      </c>
    </row>
    <row r="680" spans="1:13" x14ac:dyDescent="0.3">
      <c r="A680" t="s">
        <v>83</v>
      </c>
      <c r="B680" t="str">
        <f>_xlfn.TEXTBEFORE(_xlfn.TEXTAFTER(A680,"cas-"),"_")</f>
        <v>67651-34-7</v>
      </c>
      <c r="C680" t="s">
        <v>21</v>
      </c>
      <c r="D680" t="s">
        <v>11</v>
      </c>
      <c r="E680" t="s">
        <v>12</v>
      </c>
      <c r="F680">
        <v>-8.49</v>
      </c>
      <c r="G680">
        <v>0.98009999999999997</v>
      </c>
      <c r="H680">
        <v>8</v>
      </c>
      <c r="I680">
        <v>7.8407999999999998</v>
      </c>
      <c r="K680" t="str">
        <f>INDEX([1]Sheet1!$A$1:$G$108, MATCH(B680,[1]Sheet1!$B:$B,0), 1)</f>
        <v>"2,3,4,5-Tetrachloro-4'-biphenylol"</v>
      </c>
      <c r="L680" t="str">
        <f>INDEX([1]Sheet1!$A$1:$G$108, MATCH(B680,[1]Sheet1!$B:$B,0), 3)</f>
        <v>moderate</v>
      </c>
      <c r="M680" t="s">
        <v>109</v>
      </c>
    </row>
    <row r="681" spans="1:13" x14ac:dyDescent="0.3">
      <c r="A681" t="s">
        <v>83</v>
      </c>
      <c r="B681" t="str">
        <f>_xlfn.TEXTBEFORE(_xlfn.TEXTAFTER(A681,"cas-"),"_")</f>
        <v>67651-34-7</v>
      </c>
      <c r="C681" t="s">
        <v>30</v>
      </c>
      <c r="D681" t="s">
        <v>31</v>
      </c>
      <c r="E681" t="s">
        <v>12</v>
      </c>
      <c r="F681">
        <v>-7.68</v>
      </c>
      <c r="G681">
        <v>0.98380000000000001</v>
      </c>
      <c r="H681">
        <v>8.0540000000000003</v>
      </c>
      <c r="I681">
        <v>7.9235252000000003</v>
      </c>
      <c r="K681" t="str">
        <f>INDEX([1]Sheet1!$A$1:$G$108, MATCH(B681,[1]Sheet1!$B:$B,0), 1)</f>
        <v>"2,3,4,5-Tetrachloro-4'-biphenylol"</v>
      </c>
      <c r="L681" t="str">
        <f>INDEX([1]Sheet1!$A$1:$G$108, MATCH(B681,[1]Sheet1!$B:$B,0), 3)</f>
        <v>moderate</v>
      </c>
      <c r="M681" t="s">
        <v>109</v>
      </c>
    </row>
    <row r="682" spans="1:13" x14ac:dyDescent="0.3">
      <c r="A682" t="s">
        <v>83</v>
      </c>
      <c r="B682" t="str">
        <f>_xlfn.TEXTBEFORE(_xlfn.TEXTAFTER(A682,"cas-"),"_")</f>
        <v>67651-34-7</v>
      </c>
      <c r="C682" t="s">
        <v>18</v>
      </c>
      <c r="D682" t="s">
        <v>11</v>
      </c>
      <c r="E682" t="s">
        <v>12</v>
      </c>
      <c r="F682">
        <v>-8.7799999999999994</v>
      </c>
      <c r="G682">
        <v>0.98609999999999998</v>
      </c>
      <c r="H682">
        <v>7.9320000000000004</v>
      </c>
      <c r="I682">
        <v>7.8217452000000014</v>
      </c>
      <c r="K682" t="str">
        <f>INDEX([1]Sheet1!$A$1:$G$108, MATCH(B682,[1]Sheet1!$B:$B,0), 1)</f>
        <v>"2,3,4,5-Tetrachloro-4'-biphenylol"</v>
      </c>
      <c r="L682" t="str">
        <f>INDEX([1]Sheet1!$A$1:$G$108, MATCH(B682,[1]Sheet1!$B:$B,0), 3)</f>
        <v>moderate</v>
      </c>
      <c r="M682" t="s">
        <v>109</v>
      </c>
    </row>
    <row r="683" spans="1:13" x14ac:dyDescent="0.3">
      <c r="A683" t="s">
        <v>83</v>
      </c>
      <c r="B683" t="str">
        <f>_xlfn.TEXTBEFORE(_xlfn.TEXTAFTER(A683,"cas-"),"_")</f>
        <v>67651-34-7</v>
      </c>
      <c r="C683" t="s">
        <v>15</v>
      </c>
      <c r="D683" t="s">
        <v>16</v>
      </c>
      <c r="E683" t="s">
        <v>12</v>
      </c>
      <c r="F683">
        <v>-9.02</v>
      </c>
      <c r="G683">
        <v>0.9708</v>
      </c>
      <c r="H683">
        <v>7.827</v>
      </c>
      <c r="I683">
        <v>7.5984515999999998</v>
      </c>
      <c r="K683" t="str">
        <f>INDEX([1]Sheet1!$A$1:$G$108, MATCH(B683,[1]Sheet1!$B:$B,0), 1)</f>
        <v>"2,3,4,5-Tetrachloro-4'-biphenylol"</v>
      </c>
      <c r="L683" t="str">
        <f>INDEX([1]Sheet1!$A$1:$G$108, MATCH(B683,[1]Sheet1!$B:$B,0), 3)</f>
        <v>moderate</v>
      </c>
      <c r="M683" t="s">
        <v>109</v>
      </c>
    </row>
    <row r="684" spans="1:13" x14ac:dyDescent="0.3">
      <c r="A684" t="s">
        <v>83</v>
      </c>
      <c r="B684" t="str">
        <f>_xlfn.TEXTBEFORE(_xlfn.TEXTAFTER(A684,"cas-"),"_")</f>
        <v>67651-34-7</v>
      </c>
      <c r="C684" t="s">
        <v>17</v>
      </c>
      <c r="D684" t="s">
        <v>11</v>
      </c>
      <c r="E684" t="s">
        <v>12</v>
      </c>
      <c r="F684">
        <v>-8.83</v>
      </c>
      <c r="G684">
        <v>0.98180000000000001</v>
      </c>
      <c r="H684">
        <v>8</v>
      </c>
      <c r="I684">
        <v>7.8544</v>
      </c>
      <c r="K684" t="str">
        <f>INDEX([1]Sheet1!$A$1:$G$108, MATCH(B684,[1]Sheet1!$B:$B,0), 1)</f>
        <v>"2,3,4,5-Tetrachloro-4'-biphenylol"</v>
      </c>
      <c r="L684" t="str">
        <f>INDEX([1]Sheet1!$A$1:$G$108, MATCH(B684,[1]Sheet1!$B:$B,0), 3)</f>
        <v>moderate</v>
      </c>
      <c r="M684" t="s">
        <v>109</v>
      </c>
    </row>
    <row r="685" spans="1:13" x14ac:dyDescent="0.3">
      <c r="A685" t="s">
        <v>83</v>
      </c>
      <c r="B685" t="str">
        <f>_xlfn.TEXTBEFORE(_xlfn.TEXTAFTER(A685,"cas-"),"_")</f>
        <v>67651-34-7</v>
      </c>
      <c r="C685" t="s">
        <v>26</v>
      </c>
      <c r="D685" t="s">
        <v>14</v>
      </c>
      <c r="E685" t="s">
        <v>12</v>
      </c>
      <c r="F685">
        <v>-8.67</v>
      </c>
      <c r="G685">
        <v>0.99080000000000001</v>
      </c>
      <c r="H685">
        <v>8.2240000000000002</v>
      </c>
      <c r="I685">
        <v>8.1483392000000006</v>
      </c>
      <c r="K685" t="str">
        <f>INDEX([1]Sheet1!$A$1:$G$108, MATCH(B685,[1]Sheet1!$B:$B,0), 1)</f>
        <v>"2,3,4,5-Tetrachloro-4'-biphenylol"</v>
      </c>
      <c r="L685" t="str">
        <f>INDEX([1]Sheet1!$A$1:$G$108, MATCH(B685,[1]Sheet1!$B:$B,0), 3)</f>
        <v>moderate</v>
      </c>
      <c r="M685" t="s">
        <v>109</v>
      </c>
    </row>
    <row r="686" spans="1:13" x14ac:dyDescent="0.3">
      <c r="A686" t="s">
        <v>83</v>
      </c>
      <c r="B686" t="str">
        <f>_xlfn.TEXTBEFORE(_xlfn.TEXTAFTER(A686,"cas-"),"_")</f>
        <v>67651-34-7</v>
      </c>
      <c r="C686" t="s">
        <v>22</v>
      </c>
      <c r="D686" t="s">
        <v>23</v>
      </c>
      <c r="E686" t="s">
        <v>12</v>
      </c>
      <c r="F686">
        <v>-7.89</v>
      </c>
      <c r="G686">
        <v>0.97389999999999999</v>
      </c>
      <c r="H686">
        <v>8.0229999999999997</v>
      </c>
      <c r="I686">
        <v>7.8135996999999993</v>
      </c>
      <c r="K686" t="str">
        <f>INDEX([1]Sheet1!$A$1:$G$108, MATCH(B686,[1]Sheet1!$B:$B,0), 1)</f>
        <v>"2,3,4,5-Tetrachloro-4'-biphenylol"</v>
      </c>
      <c r="L686" t="str">
        <f>INDEX([1]Sheet1!$A$1:$G$108, MATCH(B686,[1]Sheet1!$B:$B,0), 3)</f>
        <v>moderate</v>
      </c>
      <c r="M686" t="s">
        <v>109</v>
      </c>
    </row>
    <row r="687" spans="1:13" x14ac:dyDescent="0.3">
      <c r="A687" t="s">
        <v>83</v>
      </c>
      <c r="B687" t="str">
        <f>_xlfn.TEXTBEFORE(_xlfn.TEXTAFTER(A687,"cas-"),"_")</f>
        <v>67651-34-7</v>
      </c>
      <c r="C687" t="s">
        <v>19</v>
      </c>
      <c r="D687" t="s">
        <v>20</v>
      </c>
      <c r="E687" t="s">
        <v>12</v>
      </c>
      <c r="F687">
        <v>-8.77</v>
      </c>
      <c r="G687">
        <v>0.98370000000000002</v>
      </c>
      <c r="H687">
        <v>7.952</v>
      </c>
      <c r="I687">
        <v>7.8223824000000004</v>
      </c>
      <c r="K687" t="str">
        <f>INDEX([1]Sheet1!$A$1:$G$108, MATCH(B687,[1]Sheet1!$B:$B,0), 1)</f>
        <v>"2,3,4,5-Tetrachloro-4'-biphenylol"</v>
      </c>
      <c r="L687" t="str">
        <f>INDEX([1]Sheet1!$A$1:$G$108, MATCH(B687,[1]Sheet1!$B:$B,0), 3)</f>
        <v>moderate</v>
      </c>
      <c r="M687" t="s">
        <v>109</v>
      </c>
    </row>
    <row r="688" spans="1:13" x14ac:dyDescent="0.3">
      <c r="A688" t="s">
        <v>83</v>
      </c>
      <c r="B688" t="str">
        <f>_xlfn.TEXTBEFORE(_xlfn.TEXTAFTER(A688,"cas-"),"_")</f>
        <v>67651-34-7</v>
      </c>
      <c r="C688" t="s">
        <v>28</v>
      </c>
      <c r="D688" t="s">
        <v>29</v>
      </c>
      <c r="E688" t="s">
        <v>12</v>
      </c>
      <c r="F688">
        <v>-8.3800000000000008</v>
      </c>
      <c r="G688">
        <v>0.98719999999999997</v>
      </c>
      <c r="H688">
        <v>7.9640000000000004</v>
      </c>
      <c r="I688">
        <v>7.8620608000000001</v>
      </c>
      <c r="K688" t="str">
        <f>INDEX([1]Sheet1!$A$1:$G$108, MATCH(B688,[1]Sheet1!$B:$B,0), 1)</f>
        <v>"2,3,4,5-Tetrachloro-4'-biphenylol"</v>
      </c>
      <c r="L688" t="str">
        <f>INDEX([1]Sheet1!$A$1:$G$108, MATCH(B688,[1]Sheet1!$B:$B,0), 3)</f>
        <v>moderate</v>
      </c>
      <c r="M688" t="s">
        <v>109</v>
      </c>
    </row>
    <row r="689" spans="1:13" x14ac:dyDescent="0.3">
      <c r="A689" t="s">
        <v>83</v>
      </c>
      <c r="B689" t="str">
        <f>_xlfn.TEXTBEFORE(_xlfn.TEXTAFTER(A689,"cas-"),"_")</f>
        <v>67651-34-7</v>
      </c>
      <c r="C689" t="s">
        <v>13</v>
      </c>
      <c r="D689" t="s">
        <v>14</v>
      </c>
      <c r="E689" t="s">
        <v>12</v>
      </c>
      <c r="F689">
        <v>-8.99</v>
      </c>
      <c r="G689">
        <v>0.99180000000000001</v>
      </c>
      <c r="H689">
        <v>8.0559999999999992</v>
      </c>
      <c r="I689">
        <v>7.9899407999999994</v>
      </c>
      <c r="K689" t="str">
        <f>INDEX([1]Sheet1!$A$1:$G$108, MATCH(B689,[1]Sheet1!$B:$B,0), 1)</f>
        <v>"2,3,4,5-Tetrachloro-4'-biphenylol"</v>
      </c>
      <c r="L689" t="str">
        <f>INDEX([1]Sheet1!$A$1:$G$108, MATCH(B689,[1]Sheet1!$B:$B,0), 3)</f>
        <v>moderate</v>
      </c>
      <c r="M689" t="s">
        <v>109</v>
      </c>
    </row>
    <row r="690" spans="1:13" x14ac:dyDescent="0.3">
      <c r="A690" t="s">
        <v>83</v>
      </c>
      <c r="B690" t="str">
        <f>_xlfn.TEXTBEFORE(_xlfn.TEXTAFTER(A690,"cas-"),"_")</f>
        <v>67651-34-7</v>
      </c>
      <c r="C690" t="s">
        <v>24</v>
      </c>
      <c r="D690" t="s">
        <v>25</v>
      </c>
      <c r="E690" t="s">
        <v>12</v>
      </c>
      <c r="F690">
        <v>-8.9</v>
      </c>
      <c r="G690">
        <v>0.97740000000000005</v>
      </c>
      <c r="H690">
        <v>7.9009999999999998</v>
      </c>
      <c r="I690">
        <v>7.7224373999999996</v>
      </c>
      <c r="K690" t="str">
        <f>INDEX([1]Sheet1!$A$1:$G$108, MATCH(B690,[1]Sheet1!$B:$B,0), 1)</f>
        <v>"2,3,4,5-Tetrachloro-4'-biphenylol"</v>
      </c>
      <c r="L690" t="str">
        <f>INDEX([1]Sheet1!$A$1:$G$108, MATCH(B690,[1]Sheet1!$B:$B,0), 3)</f>
        <v>moderate</v>
      </c>
      <c r="M690" t="s">
        <v>109</v>
      </c>
    </row>
    <row r="691" spans="1:13" x14ac:dyDescent="0.3">
      <c r="A691" t="s">
        <v>84</v>
      </c>
      <c r="B691" t="str">
        <f>_xlfn.TEXTBEFORE(_xlfn.TEXTAFTER(A691,"cas-"),"_")</f>
        <v>68-23-5</v>
      </c>
      <c r="C691" t="s">
        <v>26</v>
      </c>
      <c r="D691" t="s">
        <v>14</v>
      </c>
      <c r="E691" t="s">
        <v>12</v>
      </c>
      <c r="F691">
        <v>-7.12</v>
      </c>
      <c r="G691">
        <v>0.74490000000000001</v>
      </c>
      <c r="H691">
        <v>7.8419999999999996</v>
      </c>
      <c r="I691">
        <v>5.8415058000000002</v>
      </c>
      <c r="K691" t="str">
        <f>INDEX([1]Sheet1!$A$1:$G$108, MATCH(B691,[1]Sheet1!$B:$B,0), 1)</f>
        <v>Norethynodrel</v>
      </c>
      <c r="L691" t="str">
        <f>INDEX([1]Sheet1!$A$1:$G$108, MATCH(B691,[1]Sheet1!$B:$B,0), 3)</f>
        <v>moderate</v>
      </c>
      <c r="M691" t="s">
        <v>109</v>
      </c>
    </row>
    <row r="692" spans="1:13" x14ac:dyDescent="0.3">
      <c r="A692" t="s">
        <v>84</v>
      </c>
      <c r="B692" t="str">
        <f>_xlfn.TEXTBEFORE(_xlfn.TEXTAFTER(A692,"cas-"),"_")</f>
        <v>68-23-5</v>
      </c>
      <c r="C692" t="s">
        <v>13</v>
      </c>
      <c r="D692" t="s">
        <v>14</v>
      </c>
      <c r="E692" t="s">
        <v>12</v>
      </c>
      <c r="F692">
        <v>-8.4700000000000006</v>
      </c>
      <c r="G692">
        <v>0.65680000000000005</v>
      </c>
      <c r="H692">
        <v>7.7640000000000002</v>
      </c>
      <c r="I692">
        <v>5.0993952000000009</v>
      </c>
      <c r="K692" t="str">
        <f>INDEX([1]Sheet1!$A$1:$G$108, MATCH(B692,[1]Sheet1!$B:$B,0), 1)</f>
        <v>Norethynodrel</v>
      </c>
      <c r="L692" t="str">
        <f>INDEX([1]Sheet1!$A$1:$G$108, MATCH(B692,[1]Sheet1!$B:$B,0), 3)</f>
        <v>moderate</v>
      </c>
      <c r="M692" t="s">
        <v>109</v>
      </c>
    </row>
    <row r="693" spans="1:13" x14ac:dyDescent="0.3">
      <c r="A693" t="s">
        <v>84</v>
      </c>
      <c r="B693" t="str">
        <f>_xlfn.TEXTBEFORE(_xlfn.TEXTAFTER(A693,"cas-"),"_")</f>
        <v>68-23-5</v>
      </c>
      <c r="C693" t="s">
        <v>19</v>
      </c>
      <c r="D693" t="s">
        <v>20</v>
      </c>
      <c r="E693" t="s">
        <v>12</v>
      </c>
      <c r="F693">
        <v>-4.2300000000000004</v>
      </c>
      <c r="G693">
        <v>0.40310000000000001</v>
      </c>
      <c r="H693">
        <v>7.1479999999999997</v>
      </c>
      <c r="I693">
        <v>2.8813588000000001</v>
      </c>
      <c r="K693" t="str">
        <f>INDEX([1]Sheet1!$A$1:$G$108, MATCH(B693,[1]Sheet1!$B:$B,0), 1)</f>
        <v>Norethynodrel</v>
      </c>
      <c r="L693" t="str">
        <f>INDEX([1]Sheet1!$A$1:$G$108, MATCH(B693,[1]Sheet1!$B:$B,0), 3)</f>
        <v>moderate</v>
      </c>
      <c r="M693" t="s">
        <v>109</v>
      </c>
    </row>
    <row r="694" spans="1:13" x14ac:dyDescent="0.3">
      <c r="A694" t="s">
        <v>84</v>
      </c>
      <c r="B694" t="str">
        <f>_xlfn.TEXTBEFORE(_xlfn.TEXTAFTER(A694,"cas-"),"_")</f>
        <v>68-23-5</v>
      </c>
      <c r="C694" t="s">
        <v>27</v>
      </c>
      <c r="D694" t="s">
        <v>11</v>
      </c>
      <c r="E694" t="s">
        <v>12</v>
      </c>
      <c r="F694">
        <v>-7.95</v>
      </c>
      <c r="G694">
        <v>0.6603</v>
      </c>
      <c r="H694">
        <v>7.7119999999999997</v>
      </c>
      <c r="I694">
        <v>5.0922336000000001</v>
      </c>
      <c r="K694" t="str">
        <f>INDEX([1]Sheet1!$A$1:$G$108, MATCH(B694,[1]Sheet1!$B:$B,0), 1)</f>
        <v>Norethynodrel</v>
      </c>
      <c r="L694" t="str">
        <f>INDEX([1]Sheet1!$A$1:$G$108, MATCH(B694,[1]Sheet1!$B:$B,0), 3)</f>
        <v>moderate</v>
      </c>
      <c r="M694" t="s">
        <v>109</v>
      </c>
    </row>
    <row r="695" spans="1:13" x14ac:dyDescent="0.3">
      <c r="A695" t="s">
        <v>84</v>
      </c>
      <c r="B695" t="str">
        <f>_xlfn.TEXTBEFORE(_xlfn.TEXTAFTER(A695,"cas-"),"_")</f>
        <v>68-23-5</v>
      </c>
      <c r="C695" t="s">
        <v>17</v>
      </c>
      <c r="D695" t="s">
        <v>11</v>
      </c>
      <c r="E695" t="s">
        <v>12</v>
      </c>
      <c r="F695">
        <v>-9.2899999999999991</v>
      </c>
      <c r="G695">
        <v>0.77849999999999997</v>
      </c>
      <c r="H695">
        <v>7.85</v>
      </c>
      <c r="I695">
        <v>6.1112249999999992</v>
      </c>
      <c r="K695" t="str">
        <f>INDEX([1]Sheet1!$A$1:$G$108, MATCH(B695,[1]Sheet1!$B:$B,0), 1)</f>
        <v>Norethynodrel</v>
      </c>
      <c r="L695" t="str">
        <f>INDEX([1]Sheet1!$A$1:$G$108, MATCH(B695,[1]Sheet1!$B:$B,0), 3)</f>
        <v>moderate</v>
      </c>
      <c r="M695" t="s">
        <v>109</v>
      </c>
    </row>
    <row r="696" spans="1:13" x14ac:dyDescent="0.3">
      <c r="A696" t="s">
        <v>84</v>
      </c>
      <c r="B696" t="str">
        <f>_xlfn.TEXTBEFORE(_xlfn.TEXTAFTER(A696,"cas-"),"_")</f>
        <v>68-23-5</v>
      </c>
      <c r="C696" t="s">
        <v>10</v>
      </c>
      <c r="D696" t="s">
        <v>11</v>
      </c>
      <c r="E696" t="s">
        <v>12</v>
      </c>
      <c r="F696">
        <v>-8.4</v>
      </c>
      <c r="G696">
        <v>0.74160000000000004</v>
      </c>
      <c r="H696">
        <v>7.78</v>
      </c>
      <c r="I696">
        <v>5.7696480000000001</v>
      </c>
      <c r="K696" t="str">
        <f>INDEX([1]Sheet1!$A$1:$G$108, MATCH(B696,[1]Sheet1!$B:$B,0), 1)</f>
        <v>Norethynodrel</v>
      </c>
      <c r="L696" t="str">
        <f>INDEX([1]Sheet1!$A$1:$G$108, MATCH(B696,[1]Sheet1!$B:$B,0), 3)</f>
        <v>moderate</v>
      </c>
      <c r="M696" t="s">
        <v>109</v>
      </c>
    </row>
    <row r="697" spans="1:13" x14ac:dyDescent="0.3">
      <c r="A697" t="s">
        <v>84</v>
      </c>
      <c r="B697" t="str">
        <f>_xlfn.TEXTBEFORE(_xlfn.TEXTAFTER(A697,"cas-"),"_")</f>
        <v>68-23-5</v>
      </c>
      <c r="C697" t="s">
        <v>30</v>
      </c>
      <c r="D697" t="s">
        <v>31</v>
      </c>
      <c r="E697" t="s">
        <v>12</v>
      </c>
      <c r="F697">
        <v>16.48</v>
      </c>
      <c r="G697">
        <v>0.49669999999999997</v>
      </c>
      <c r="H697">
        <v>6.7050000000000001</v>
      </c>
      <c r="I697">
        <v>3.3303734999999999</v>
      </c>
      <c r="K697" t="str">
        <f>INDEX([1]Sheet1!$A$1:$G$108, MATCH(B697,[1]Sheet1!$B:$B,0), 1)</f>
        <v>Norethynodrel</v>
      </c>
      <c r="L697" t="str">
        <f>INDEX([1]Sheet1!$A$1:$G$108, MATCH(B697,[1]Sheet1!$B:$B,0), 3)</f>
        <v>moderate</v>
      </c>
      <c r="M697" t="s">
        <v>109</v>
      </c>
    </row>
    <row r="698" spans="1:13" x14ac:dyDescent="0.3">
      <c r="A698" t="s">
        <v>84</v>
      </c>
      <c r="B698" t="str">
        <f>_xlfn.TEXTBEFORE(_xlfn.TEXTAFTER(A698,"cas-"),"_")</f>
        <v>68-23-5</v>
      </c>
      <c r="C698" t="s">
        <v>22</v>
      </c>
      <c r="D698" t="s">
        <v>23</v>
      </c>
      <c r="E698" t="s">
        <v>12</v>
      </c>
      <c r="F698">
        <v>-8.52</v>
      </c>
      <c r="G698">
        <v>0.61380000000000001</v>
      </c>
      <c r="H698">
        <v>7.5289999999999999</v>
      </c>
      <c r="I698">
        <v>4.6213002000000003</v>
      </c>
      <c r="K698" t="str">
        <f>INDEX([1]Sheet1!$A$1:$G$108, MATCH(B698,[1]Sheet1!$B:$B,0), 1)</f>
        <v>Norethynodrel</v>
      </c>
      <c r="L698" t="str">
        <f>INDEX([1]Sheet1!$A$1:$G$108, MATCH(B698,[1]Sheet1!$B:$B,0), 3)</f>
        <v>moderate</v>
      </c>
      <c r="M698" t="s">
        <v>109</v>
      </c>
    </row>
    <row r="699" spans="1:13" x14ac:dyDescent="0.3">
      <c r="A699" t="s">
        <v>84</v>
      </c>
      <c r="B699" t="str">
        <f>_xlfn.TEXTBEFORE(_xlfn.TEXTAFTER(A699,"cas-"),"_")</f>
        <v>68-23-5</v>
      </c>
      <c r="C699" t="s">
        <v>15</v>
      </c>
      <c r="D699" t="s">
        <v>16</v>
      </c>
      <c r="E699" t="s">
        <v>12</v>
      </c>
      <c r="F699">
        <v>-7.41</v>
      </c>
      <c r="G699">
        <v>0.6663</v>
      </c>
      <c r="H699">
        <v>7.5970000000000004</v>
      </c>
      <c r="I699">
        <v>5.0618810999999999</v>
      </c>
      <c r="K699" t="str">
        <f>INDEX([1]Sheet1!$A$1:$G$108, MATCH(B699,[1]Sheet1!$B:$B,0), 1)</f>
        <v>Norethynodrel</v>
      </c>
      <c r="L699" t="str">
        <f>INDEX([1]Sheet1!$A$1:$G$108, MATCH(B699,[1]Sheet1!$B:$B,0), 3)</f>
        <v>moderate</v>
      </c>
      <c r="M699" t="s">
        <v>109</v>
      </c>
    </row>
    <row r="700" spans="1:13" x14ac:dyDescent="0.3">
      <c r="A700" t="s">
        <v>84</v>
      </c>
      <c r="B700" t="str">
        <f>_xlfn.TEXTBEFORE(_xlfn.TEXTAFTER(A700,"cas-"),"_")</f>
        <v>68-23-5</v>
      </c>
      <c r="C700" t="s">
        <v>18</v>
      </c>
      <c r="D700" t="s">
        <v>11</v>
      </c>
      <c r="E700" t="s">
        <v>12</v>
      </c>
      <c r="F700">
        <v>-8.66</v>
      </c>
      <c r="G700">
        <v>0.72809999999999997</v>
      </c>
      <c r="H700">
        <v>7.7850000000000001</v>
      </c>
      <c r="I700">
        <v>5.6682584999999994</v>
      </c>
      <c r="K700" t="str">
        <f>INDEX([1]Sheet1!$A$1:$G$108, MATCH(B700,[1]Sheet1!$B:$B,0), 1)</f>
        <v>Norethynodrel</v>
      </c>
      <c r="L700" t="str">
        <f>INDEX([1]Sheet1!$A$1:$G$108, MATCH(B700,[1]Sheet1!$B:$B,0), 3)</f>
        <v>moderate</v>
      </c>
      <c r="M700" t="s">
        <v>109</v>
      </c>
    </row>
    <row r="701" spans="1:13" x14ac:dyDescent="0.3">
      <c r="A701" t="s">
        <v>84</v>
      </c>
      <c r="B701" t="str">
        <f>_xlfn.TEXTBEFORE(_xlfn.TEXTAFTER(A701,"cas-"),"_")</f>
        <v>68-23-5</v>
      </c>
      <c r="C701" t="s">
        <v>21</v>
      </c>
      <c r="D701" t="s">
        <v>11</v>
      </c>
      <c r="E701" t="s">
        <v>12</v>
      </c>
      <c r="F701">
        <v>-8.82</v>
      </c>
      <c r="G701">
        <v>0.70330000000000004</v>
      </c>
      <c r="H701">
        <v>7.758</v>
      </c>
      <c r="I701">
        <v>5.4562014000000003</v>
      </c>
      <c r="K701" t="str">
        <f>INDEX([1]Sheet1!$A$1:$G$108, MATCH(B701,[1]Sheet1!$B:$B,0), 1)</f>
        <v>Norethynodrel</v>
      </c>
      <c r="L701" t="str">
        <f>INDEX([1]Sheet1!$A$1:$G$108, MATCH(B701,[1]Sheet1!$B:$B,0), 3)</f>
        <v>moderate</v>
      </c>
      <c r="M701" t="s">
        <v>109</v>
      </c>
    </row>
    <row r="702" spans="1:13" x14ac:dyDescent="0.3">
      <c r="A702" t="s">
        <v>84</v>
      </c>
      <c r="B702" t="str">
        <f>_xlfn.TEXTBEFORE(_xlfn.TEXTAFTER(A702,"cas-"),"_")</f>
        <v>68-23-5</v>
      </c>
      <c r="C702" t="s">
        <v>24</v>
      </c>
      <c r="D702" t="s">
        <v>25</v>
      </c>
      <c r="E702" t="s">
        <v>12</v>
      </c>
      <c r="F702">
        <v>-6.77</v>
      </c>
      <c r="G702">
        <v>0.63849999999999996</v>
      </c>
      <c r="H702">
        <v>7.5940000000000003</v>
      </c>
      <c r="I702">
        <v>4.8487689999999999</v>
      </c>
      <c r="K702" t="str">
        <f>INDEX([1]Sheet1!$A$1:$G$108, MATCH(B702,[1]Sheet1!$B:$B,0), 1)</f>
        <v>Norethynodrel</v>
      </c>
      <c r="L702" t="str">
        <f>INDEX([1]Sheet1!$A$1:$G$108, MATCH(B702,[1]Sheet1!$B:$B,0), 3)</f>
        <v>moderate</v>
      </c>
      <c r="M702" t="s">
        <v>109</v>
      </c>
    </row>
    <row r="703" spans="1:13" x14ac:dyDescent="0.3">
      <c r="A703" t="s">
        <v>84</v>
      </c>
      <c r="B703" t="str">
        <f>_xlfn.TEXTBEFORE(_xlfn.TEXTAFTER(A703,"cas-"),"_")</f>
        <v>68-23-5</v>
      </c>
      <c r="C703" t="s">
        <v>28</v>
      </c>
      <c r="D703" t="s">
        <v>29</v>
      </c>
      <c r="E703" t="s">
        <v>12</v>
      </c>
      <c r="F703">
        <v>-7.7</v>
      </c>
      <c r="G703">
        <v>0.49320000000000003</v>
      </c>
      <c r="H703">
        <v>7.327</v>
      </c>
      <c r="I703">
        <v>3.6136764000000001</v>
      </c>
      <c r="K703" t="str">
        <f>INDEX([1]Sheet1!$A$1:$G$108, MATCH(B703,[1]Sheet1!$B:$B,0), 1)</f>
        <v>Norethynodrel</v>
      </c>
      <c r="L703" t="str">
        <f>INDEX([1]Sheet1!$A$1:$G$108, MATCH(B703,[1]Sheet1!$B:$B,0), 3)</f>
        <v>moderate</v>
      </c>
      <c r="M703" t="s">
        <v>109</v>
      </c>
    </row>
    <row r="704" spans="1:13" x14ac:dyDescent="0.3">
      <c r="A704" t="s">
        <v>85</v>
      </c>
      <c r="B704" t="str">
        <f>_xlfn.TEXTBEFORE(_xlfn.TEXTAFTER(A704,"cas-"),"_")</f>
        <v>75938-34-0</v>
      </c>
      <c r="C704" t="s">
        <v>27</v>
      </c>
      <c r="D704" t="s">
        <v>11</v>
      </c>
      <c r="E704" t="s">
        <v>12</v>
      </c>
      <c r="F704">
        <v>-6.89</v>
      </c>
      <c r="G704">
        <v>0.86260000000000003</v>
      </c>
      <c r="H704">
        <v>7.9219999999999997</v>
      </c>
      <c r="I704">
        <v>6.8335172000000002</v>
      </c>
      <c r="K704" t="str">
        <f>INDEX([1]Sheet1!$A$1:$G$108, MATCH(B704,[1]Sheet1!$B:$B,0), 1)</f>
        <v>Monohydroxymethoxychlor olefin</v>
      </c>
      <c r="L704" t="str">
        <f>INDEX([1]Sheet1!$A$1:$G$108, MATCH(B704,[1]Sheet1!$B:$B,0), 3)</f>
        <v>moderate</v>
      </c>
      <c r="M704" t="s">
        <v>109</v>
      </c>
    </row>
    <row r="705" spans="1:13" x14ac:dyDescent="0.3">
      <c r="A705" t="s">
        <v>85</v>
      </c>
      <c r="B705" t="str">
        <f>_xlfn.TEXTBEFORE(_xlfn.TEXTAFTER(A705,"cas-"),"_")</f>
        <v>75938-34-0</v>
      </c>
      <c r="C705" t="s">
        <v>24</v>
      </c>
      <c r="D705" t="s">
        <v>25</v>
      </c>
      <c r="E705" t="s">
        <v>12</v>
      </c>
      <c r="F705">
        <v>-6.53</v>
      </c>
      <c r="G705">
        <v>0.88739999999999997</v>
      </c>
      <c r="H705">
        <v>7.52</v>
      </c>
      <c r="I705">
        <v>6.6732479999999992</v>
      </c>
      <c r="K705" t="str">
        <f>INDEX([1]Sheet1!$A$1:$G$108, MATCH(B705,[1]Sheet1!$B:$B,0), 1)</f>
        <v>Monohydroxymethoxychlor olefin</v>
      </c>
      <c r="L705" t="str">
        <f>INDEX([1]Sheet1!$A$1:$G$108, MATCH(B705,[1]Sheet1!$B:$B,0), 3)</f>
        <v>moderate</v>
      </c>
      <c r="M705" t="s">
        <v>109</v>
      </c>
    </row>
    <row r="706" spans="1:13" x14ac:dyDescent="0.3">
      <c r="A706" t="s">
        <v>85</v>
      </c>
      <c r="B706" t="str">
        <f>_xlfn.TEXTBEFORE(_xlfn.TEXTAFTER(A706,"cas-"),"_")</f>
        <v>75938-34-0</v>
      </c>
      <c r="C706" t="s">
        <v>13</v>
      </c>
      <c r="D706" t="s">
        <v>14</v>
      </c>
      <c r="E706" t="s">
        <v>12</v>
      </c>
      <c r="F706">
        <v>-6.95</v>
      </c>
      <c r="G706">
        <v>0.90900000000000003</v>
      </c>
      <c r="H706">
        <v>8.07</v>
      </c>
      <c r="I706">
        <v>7.3356300000000001</v>
      </c>
      <c r="K706" t="str">
        <f>INDEX([1]Sheet1!$A$1:$G$108, MATCH(B706,[1]Sheet1!$B:$B,0), 1)</f>
        <v>Monohydroxymethoxychlor olefin</v>
      </c>
      <c r="L706" t="str">
        <f>INDEX([1]Sheet1!$A$1:$G$108, MATCH(B706,[1]Sheet1!$B:$B,0), 3)</f>
        <v>moderate</v>
      </c>
      <c r="M706" t="s">
        <v>109</v>
      </c>
    </row>
    <row r="707" spans="1:13" x14ac:dyDescent="0.3">
      <c r="A707" t="s">
        <v>85</v>
      </c>
      <c r="B707" t="str">
        <f>_xlfn.TEXTBEFORE(_xlfn.TEXTAFTER(A707,"cas-"),"_")</f>
        <v>75938-34-0</v>
      </c>
      <c r="C707" t="s">
        <v>10</v>
      </c>
      <c r="D707" t="s">
        <v>11</v>
      </c>
      <c r="E707" t="s">
        <v>12</v>
      </c>
      <c r="F707">
        <v>-6.25</v>
      </c>
      <c r="G707">
        <v>0.79</v>
      </c>
      <c r="H707">
        <v>7.73</v>
      </c>
      <c r="I707">
        <v>6.1067000000000009</v>
      </c>
      <c r="K707" t="str">
        <f>INDEX([1]Sheet1!$A$1:$G$108, MATCH(B707,[1]Sheet1!$B:$B,0), 1)</f>
        <v>Monohydroxymethoxychlor olefin</v>
      </c>
      <c r="L707" t="str">
        <f>INDEX([1]Sheet1!$A$1:$G$108, MATCH(B707,[1]Sheet1!$B:$B,0), 3)</f>
        <v>moderate</v>
      </c>
      <c r="M707" t="s">
        <v>109</v>
      </c>
    </row>
    <row r="708" spans="1:13" x14ac:dyDescent="0.3">
      <c r="A708" t="s">
        <v>85</v>
      </c>
      <c r="B708" t="str">
        <f>_xlfn.TEXTBEFORE(_xlfn.TEXTAFTER(A708,"cas-"),"_")</f>
        <v>75938-34-0</v>
      </c>
      <c r="C708" t="s">
        <v>28</v>
      </c>
      <c r="D708" t="s">
        <v>29</v>
      </c>
      <c r="E708" t="s">
        <v>12</v>
      </c>
      <c r="F708">
        <v>-8.1</v>
      </c>
      <c r="G708">
        <v>0.93889999999999996</v>
      </c>
      <c r="H708">
        <v>7.2229999999999999</v>
      </c>
      <c r="I708">
        <v>6.7816746999999999</v>
      </c>
      <c r="K708" t="str">
        <f>INDEX([1]Sheet1!$A$1:$G$108, MATCH(B708,[1]Sheet1!$B:$B,0), 1)</f>
        <v>Monohydroxymethoxychlor olefin</v>
      </c>
      <c r="L708" t="str">
        <f>INDEX([1]Sheet1!$A$1:$G$108, MATCH(B708,[1]Sheet1!$B:$B,0), 3)</f>
        <v>moderate</v>
      </c>
      <c r="M708" t="s">
        <v>109</v>
      </c>
    </row>
    <row r="709" spans="1:13" x14ac:dyDescent="0.3">
      <c r="A709" t="s">
        <v>85</v>
      </c>
      <c r="B709" t="str">
        <f>_xlfn.TEXTBEFORE(_xlfn.TEXTAFTER(A709,"cas-"),"_")</f>
        <v>75938-34-0</v>
      </c>
      <c r="C709" t="s">
        <v>19</v>
      </c>
      <c r="D709" t="s">
        <v>20</v>
      </c>
      <c r="E709" t="s">
        <v>12</v>
      </c>
      <c r="F709">
        <v>-7.37</v>
      </c>
      <c r="G709">
        <v>0.88190000000000002</v>
      </c>
      <c r="H709">
        <v>7.5250000000000004</v>
      </c>
      <c r="I709">
        <v>6.6362975000000004</v>
      </c>
      <c r="K709" t="str">
        <f>INDEX([1]Sheet1!$A$1:$G$108, MATCH(B709,[1]Sheet1!$B:$B,0), 1)</f>
        <v>Monohydroxymethoxychlor olefin</v>
      </c>
      <c r="L709" t="str">
        <f>INDEX([1]Sheet1!$A$1:$G$108, MATCH(B709,[1]Sheet1!$B:$B,0), 3)</f>
        <v>moderate</v>
      </c>
      <c r="M709" t="s">
        <v>109</v>
      </c>
    </row>
    <row r="710" spans="1:13" x14ac:dyDescent="0.3">
      <c r="A710" t="s">
        <v>85</v>
      </c>
      <c r="B710" t="str">
        <f>_xlfn.TEXTBEFORE(_xlfn.TEXTAFTER(A710,"cas-"),"_")</f>
        <v>75938-34-0</v>
      </c>
      <c r="C710" t="s">
        <v>26</v>
      </c>
      <c r="D710" t="s">
        <v>14</v>
      </c>
      <c r="E710" t="s">
        <v>12</v>
      </c>
      <c r="F710">
        <v>-6.61</v>
      </c>
      <c r="G710">
        <v>0.86570000000000003</v>
      </c>
      <c r="H710">
        <v>7.5919999999999996</v>
      </c>
      <c r="I710">
        <v>6.5723944000000003</v>
      </c>
      <c r="K710" t="str">
        <f>INDEX([1]Sheet1!$A$1:$G$108, MATCH(B710,[1]Sheet1!$B:$B,0), 1)</f>
        <v>Monohydroxymethoxychlor olefin</v>
      </c>
      <c r="L710" t="str">
        <f>INDEX([1]Sheet1!$A$1:$G$108, MATCH(B710,[1]Sheet1!$B:$B,0), 3)</f>
        <v>moderate</v>
      </c>
      <c r="M710" t="s">
        <v>109</v>
      </c>
    </row>
    <row r="711" spans="1:13" x14ac:dyDescent="0.3">
      <c r="A711" t="s">
        <v>85</v>
      </c>
      <c r="B711" t="str">
        <f>_xlfn.TEXTBEFORE(_xlfn.TEXTAFTER(A711,"cas-"),"_")</f>
        <v>75938-34-0</v>
      </c>
      <c r="C711" t="s">
        <v>22</v>
      </c>
      <c r="D711" t="s">
        <v>23</v>
      </c>
      <c r="E711" t="s">
        <v>12</v>
      </c>
      <c r="F711">
        <v>-7.59</v>
      </c>
      <c r="G711">
        <v>0.90129999999999999</v>
      </c>
      <c r="H711">
        <v>7.3780000000000001</v>
      </c>
      <c r="I711">
        <v>6.6497913999999998</v>
      </c>
      <c r="K711" t="str">
        <f>INDEX([1]Sheet1!$A$1:$G$108, MATCH(B711,[1]Sheet1!$B:$B,0), 1)</f>
        <v>Monohydroxymethoxychlor olefin</v>
      </c>
      <c r="L711" t="str">
        <f>INDEX([1]Sheet1!$A$1:$G$108, MATCH(B711,[1]Sheet1!$B:$B,0), 3)</f>
        <v>moderate</v>
      </c>
      <c r="M711" t="s">
        <v>109</v>
      </c>
    </row>
    <row r="712" spans="1:13" x14ac:dyDescent="0.3">
      <c r="A712" t="s">
        <v>85</v>
      </c>
      <c r="B712" t="str">
        <f>_xlfn.TEXTBEFORE(_xlfn.TEXTAFTER(A712,"cas-"),"_")</f>
        <v>75938-34-0</v>
      </c>
      <c r="C712" t="s">
        <v>15</v>
      </c>
      <c r="D712" t="s">
        <v>16</v>
      </c>
      <c r="E712" t="s">
        <v>12</v>
      </c>
      <c r="F712">
        <v>-7.54</v>
      </c>
      <c r="G712">
        <v>0.92100000000000004</v>
      </c>
      <c r="H712">
        <v>7.6059999999999999</v>
      </c>
      <c r="I712">
        <v>7.0051260000000006</v>
      </c>
      <c r="K712" t="str">
        <f>INDEX([1]Sheet1!$A$1:$G$108, MATCH(B712,[1]Sheet1!$B:$B,0), 1)</f>
        <v>Monohydroxymethoxychlor olefin</v>
      </c>
      <c r="L712" t="str">
        <f>INDEX([1]Sheet1!$A$1:$G$108, MATCH(B712,[1]Sheet1!$B:$B,0), 3)</f>
        <v>moderate</v>
      </c>
      <c r="M712" t="s">
        <v>109</v>
      </c>
    </row>
    <row r="713" spans="1:13" x14ac:dyDescent="0.3">
      <c r="A713" t="s">
        <v>85</v>
      </c>
      <c r="B713" t="str">
        <f>_xlfn.TEXTBEFORE(_xlfn.TEXTAFTER(A713,"cas-"),"_")</f>
        <v>75938-34-0</v>
      </c>
      <c r="C713" t="s">
        <v>18</v>
      </c>
      <c r="D713" t="s">
        <v>11</v>
      </c>
      <c r="E713" t="s">
        <v>12</v>
      </c>
      <c r="F713">
        <v>-6.46</v>
      </c>
      <c r="G713">
        <v>0.87849999999999995</v>
      </c>
      <c r="H713">
        <v>7.2880000000000003</v>
      </c>
      <c r="I713">
        <v>6.4025080000000001</v>
      </c>
      <c r="K713" t="str">
        <f>INDEX([1]Sheet1!$A$1:$G$108, MATCH(B713,[1]Sheet1!$B:$B,0), 1)</f>
        <v>Monohydroxymethoxychlor olefin</v>
      </c>
      <c r="L713" t="str">
        <f>INDEX([1]Sheet1!$A$1:$G$108, MATCH(B713,[1]Sheet1!$B:$B,0), 3)</f>
        <v>moderate</v>
      </c>
      <c r="M713" t="s">
        <v>109</v>
      </c>
    </row>
    <row r="714" spans="1:13" x14ac:dyDescent="0.3">
      <c r="A714" t="s">
        <v>85</v>
      </c>
      <c r="B714" t="str">
        <f>_xlfn.TEXTBEFORE(_xlfn.TEXTAFTER(A714,"cas-"),"_")</f>
        <v>75938-34-0</v>
      </c>
      <c r="C714" t="s">
        <v>30</v>
      </c>
      <c r="D714" t="s">
        <v>31</v>
      </c>
      <c r="E714" t="s">
        <v>12</v>
      </c>
      <c r="F714">
        <v>-5.93</v>
      </c>
      <c r="G714">
        <v>0.88029999999999997</v>
      </c>
      <c r="H714">
        <v>7.3220000000000001</v>
      </c>
      <c r="I714">
        <v>6.4455565999999997</v>
      </c>
      <c r="K714" t="str">
        <f>INDEX([1]Sheet1!$A$1:$G$108, MATCH(B714,[1]Sheet1!$B:$B,0), 1)</f>
        <v>Monohydroxymethoxychlor olefin</v>
      </c>
      <c r="L714" t="str">
        <f>INDEX([1]Sheet1!$A$1:$G$108, MATCH(B714,[1]Sheet1!$B:$B,0), 3)</f>
        <v>moderate</v>
      </c>
      <c r="M714" t="s">
        <v>109</v>
      </c>
    </row>
    <row r="715" spans="1:13" x14ac:dyDescent="0.3">
      <c r="A715" t="s">
        <v>85</v>
      </c>
      <c r="B715" t="str">
        <f>_xlfn.TEXTBEFORE(_xlfn.TEXTAFTER(A715,"cas-"),"_")</f>
        <v>75938-34-0</v>
      </c>
      <c r="C715" t="s">
        <v>21</v>
      </c>
      <c r="D715" t="s">
        <v>11</v>
      </c>
      <c r="E715" t="s">
        <v>12</v>
      </c>
      <c r="F715">
        <v>-7.58</v>
      </c>
      <c r="G715">
        <v>0.89190000000000003</v>
      </c>
      <c r="H715">
        <v>7.5990000000000002</v>
      </c>
      <c r="I715">
        <v>6.7775481000000006</v>
      </c>
      <c r="K715" t="str">
        <f>INDEX([1]Sheet1!$A$1:$G$108, MATCH(B715,[1]Sheet1!$B:$B,0), 1)</f>
        <v>Monohydroxymethoxychlor olefin</v>
      </c>
      <c r="L715" t="str">
        <f>INDEX([1]Sheet1!$A$1:$G$108, MATCH(B715,[1]Sheet1!$B:$B,0), 3)</f>
        <v>moderate</v>
      </c>
      <c r="M715" t="s">
        <v>109</v>
      </c>
    </row>
    <row r="716" spans="1:13" x14ac:dyDescent="0.3">
      <c r="A716" t="s">
        <v>85</v>
      </c>
      <c r="B716" t="str">
        <f>_xlfn.TEXTBEFORE(_xlfn.TEXTAFTER(A716,"cas-"),"_")</f>
        <v>75938-34-0</v>
      </c>
      <c r="C716" t="s">
        <v>17</v>
      </c>
      <c r="D716" t="s">
        <v>11</v>
      </c>
      <c r="E716" t="s">
        <v>12</v>
      </c>
      <c r="F716">
        <v>-5.99</v>
      </c>
      <c r="G716">
        <v>0.79069999999999996</v>
      </c>
      <c r="H716">
        <v>7.3920000000000003</v>
      </c>
      <c r="I716">
        <v>5.8448544</v>
      </c>
      <c r="K716" t="str">
        <f>INDEX([1]Sheet1!$A$1:$G$108, MATCH(B716,[1]Sheet1!$B:$B,0), 1)</f>
        <v>Monohydroxymethoxychlor olefin</v>
      </c>
      <c r="L716" t="str">
        <f>INDEX([1]Sheet1!$A$1:$G$108, MATCH(B716,[1]Sheet1!$B:$B,0), 3)</f>
        <v>moderate</v>
      </c>
      <c r="M716" t="s">
        <v>109</v>
      </c>
    </row>
    <row r="717" spans="1:13" x14ac:dyDescent="0.3">
      <c r="A717" t="s">
        <v>86</v>
      </c>
      <c r="B717" t="str">
        <f>_xlfn.TEXTBEFORE(_xlfn.TEXTAFTER(A717,"cas-"),"_")</f>
        <v>77-09-8</v>
      </c>
      <c r="C717" t="s">
        <v>30</v>
      </c>
      <c r="D717" t="s">
        <v>31</v>
      </c>
      <c r="E717" t="s">
        <v>12</v>
      </c>
      <c r="F717">
        <v>-7.42</v>
      </c>
      <c r="G717">
        <v>0.78610000000000002</v>
      </c>
      <c r="H717">
        <v>7.02</v>
      </c>
      <c r="I717">
        <v>5.5184220000000002</v>
      </c>
      <c r="K717" t="str">
        <f>INDEX([1]Sheet1!$A$1:$G$108, MATCH(B717,[1]Sheet1!$B:$B,0), 1)</f>
        <v>Phenolphthalein</v>
      </c>
      <c r="L717" t="str">
        <f>INDEX([1]Sheet1!$A$1:$G$108, MATCH(B717,[1]Sheet1!$B:$B,0), 3)</f>
        <v>moderate</v>
      </c>
      <c r="M717" t="s">
        <v>109</v>
      </c>
    </row>
    <row r="718" spans="1:13" x14ac:dyDescent="0.3">
      <c r="A718" t="s">
        <v>86</v>
      </c>
      <c r="B718" t="str">
        <f>_xlfn.TEXTBEFORE(_xlfn.TEXTAFTER(A718,"cas-"),"_")</f>
        <v>77-09-8</v>
      </c>
      <c r="C718" t="s">
        <v>27</v>
      </c>
      <c r="D718" t="s">
        <v>11</v>
      </c>
      <c r="E718" t="s">
        <v>12</v>
      </c>
      <c r="F718">
        <v>-6.2</v>
      </c>
      <c r="G718">
        <v>0.62150000000000005</v>
      </c>
      <c r="H718">
        <v>7.2389999999999999</v>
      </c>
      <c r="I718">
        <v>4.4990385000000002</v>
      </c>
      <c r="K718" t="str">
        <f>INDEX([1]Sheet1!$A$1:$G$108, MATCH(B718,[1]Sheet1!$B:$B,0), 1)</f>
        <v>Phenolphthalein</v>
      </c>
      <c r="L718" t="str">
        <f>INDEX([1]Sheet1!$A$1:$G$108, MATCH(B718,[1]Sheet1!$B:$B,0), 3)</f>
        <v>moderate</v>
      </c>
      <c r="M718" t="s">
        <v>109</v>
      </c>
    </row>
    <row r="719" spans="1:13" x14ac:dyDescent="0.3">
      <c r="A719" t="s">
        <v>86</v>
      </c>
      <c r="B719" t="str">
        <f>_xlfn.TEXTBEFORE(_xlfn.TEXTAFTER(A719,"cas-"),"_")</f>
        <v>77-09-8</v>
      </c>
      <c r="C719" t="s">
        <v>10</v>
      </c>
      <c r="D719" t="s">
        <v>11</v>
      </c>
      <c r="E719" t="s">
        <v>12</v>
      </c>
      <c r="F719">
        <v>-7.18</v>
      </c>
      <c r="G719">
        <v>0.66779999999999995</v>
      </c>
      <c r="H719">
        <v>6.7549999999999999</v>
      </c>
      <c r="I719">
        <v>4.5109889999999986</v>
      </c>
      <c r="K719" t="str">
        <f>INDEX([1]Sheet1!$A$1:$G$108, MATCH(B719,[1]Sheet1!$B:$B,0), 1)</f>
        <v>Phenolphthalein</v>
      </c>
      <c r="L719" t="str">
        <f>INDEX([1]Sheet1!$A$1:$G$108, MATCH(B719,[1]Sheet1!$B:$B,0), 3)</f>
        <v>moderate</v>
      </c>
      <c r="M719" t="s">
        <v>109</v>
      </c>
    </row>
    <row r="720" spans="1:13" x14ac:dyDescent="0.3">
      <c r="A720" t="s">
        <v>86</v>
      </c>
      <c r="B720" t="str">
        <f>_xlfn.TEXTBEFORE(_xlfn.TEXTAFTER(A720,"cas-"),"_")</f>
        <v>77-09-8</v>
      </c>
      <c r="C720" t="s">
        <v>21</v>
      </c>
      <c r="D720" t="s">
        <v>11</v>
      </c>
      <c r="E720" t="s">
        <v>12</v>
      </c>
      <c r="F720">
        <v>-9.16</v>
      </c>
      <c r="G720">
        <v>0.74</v>
      </c>
      <c r="H720">
        <v>6.976</v>
      </c>
      <c r="I720">
        <v>5.1622399999999997</v>
      </c>
      <c r="K720" t="str">
        <f>INDEX([1]Sheet1!$A$1:$G$108, MATCH(B720,[1]Sheet1!$B:$B,0), 1)</f>
        <v>Phenolphthalein</v>
      </c>
      <c r="L720" t="str">
        <f>INDEX([1]Sheet1!$A$1:$G$108, MATCH(B720,[1]Sheet1!$B:$B,0), 3)</f>
        <v>moderate</v>
      </c>
      <c r="M720" t="s">
        <v>109</v>
      </c>
    </row>
    <row r="721" spans="1:13" x14ac:dyDescent="0.3">
      <c r="A721" t="s">
        <v>86</v>
      </c>
      <c r="B721" t="str">
        <f>_xlfn.TEXTBEFORE(_xlfn.TEXTAFTER(A721,"cas-"),"_")</f>
        <v>77-09-8</v>
      </c>
      <c r="C721" t="s">
        <v>19</v>
      </c>
      <c r="D721" t="s">
        <v>20</v>
      </c>
      <c r="E721" t="s">
        <v>12</v>
      </c>
      <c r="F721">
        <v>-5.13</v>
      </c>
      <c r="G721">
        <v>0.56899999999999995</v>
      </c>
      <c r="H721">
        <v>6.6710000000000003</v>
      </c>
      <c r="I721">
        <v>3.7957990000000001</v>
      </c>
      <c r="K721" t="str">
        <f>INDEX([1]Sheet1!$A$1:$G$108, MATCH(B721,[1]Sheet1!$B:$B,0), 1)</f>
        <v>Phenolphthalein</v>
      </c>
      <c r="L721" t="str">
        <f>INDEX([1]Sheet1!$A$1:$G$108, MATCH(B721,[1]Sheet1!$B:$B,0), 3)</f>
        <v>moderate</v>
      </c>
      <c r="M721" t="s">
        <v>109</v>
      </c>
    </row>
    <row r="722" spans="1:13" x14ac:dyDescent="0.3">
      <c r="A722" t="s">
        <v>86</v>
      </c>
      <c r="B722" t="str">
        <f>_xlfn.TEXTBEFORE(_xlfn.TEXTAFTER(A722,"cas-"),"_")</f>
        <v>77-09-8</v>
      </c>
      <c r="C722" t="s">
        <v>22</v>
      </c>
      <c r="D722" t="s">
        <v>23</v>
      </c>
      <c r="E722" t="s">
        <v>12</v>
      </c>
      <c r="F722">
        <v>-8.34</v>
      </c>
      <c r="G722">
        <v>0.56340000000000001</v>
      </c>
      <c r="H722">
        <v>6.524</v>
      </c>
      <c r="I722">
        <v>3.6756215999999999</v>
      </c>
      <c r="K722" t="str">
        <f>INDEX([1]Sheet1!$A$1:$G$108, MATCH(B722,[1]Sheet1!$B:$B,0), 1)</f>
        <v>Phenolphthalein</v>
      </c>
      <c r="L722" t="str">
        <f>INDEX([1]Sheet1!$A$1:$G$108, MATCH(B722,[1]Sheet1!$B:$B,0), 3)</f>
        <v>moderate</v>
      </c>
      <c r="M722" t="s">
        <v>109</v>
      </c>
    </row>
    <row r="723" spans="1:13" x14ac:dyDescent="0.3">
      <c r="A723" t="s">
        <v>86</v>
      </c>
      <c r="B723" t="str">
        <f>_xlfn.TEXTBEFORE(_xlfn.TEXTAFTER(A723,"cas-"),"_")</f>
        <v>77-09-8</v>
      </c>
      <c r="C723" t="s">
        <v>18</v>
      </c>
      <c r="D723" t="s">
        <v>11</v>
      </c>
      <c r="E723" t="s">
        <v>12</v>
      </c>
      <c r="F723">
        <v>-6.86</v>
      </c>
      <c r="G723">
        <v>0.73629999999999995</v>
      </c>
      <c r="H723">
        <v>6.9279999999999999</v>
      </c>
      <c r="I723">
        <v>5.1010863999999998</v>
      </c>
      <c r="K723" t="str">
        <f>INDEX([1]Sheet1!$A$1:$G$108, MATCH(B723,[1]Sheet1!$B:$B,0), 1)</f>
        <v>Phenolphthalein</v>
      </c>
      <c r="L723" t="str">
        <f>INDEX([1]Sheet1!$A$1:$G$108, MATCH(B723,[1]Sheet1!$B:$B,0), 3)</f>
        <v>moderate</v>
      </c>
      <c r="M723" t="s">
        <v>109</v>
      </c>
    </row>
    <row r="724" spans="1:13" x14ac:dyDescent="0.3">
      <c r="A724" t="s">
        <v>86</v>
      </c>
      <c r="B724" t="str">
        <f>_xlfn.TEXTBEFORE(_xlfn.TEXTAFTER(A724,"cas-"),"_")</f>
        <v>77-09-8</v>
      </c>
      <c r="C724" t="s">
        <v>17</v>
      </c>
      <c r="D724" t="s">
        <v>11</v>
      </c>
      <c r="E724" t="s">
        <v>12</v>
      </c>
      <c r="F724">
        <v>-7.85</v>
      </c>
      <c r="G724">
        <v>0.67900000000000005</v>
      </c>
      <c r="H724">
        <v>7.13</v>
      </c>
      <c r="I724">
        <v>4.8412700000000006</v>
      </c>
      <c r="K724" t="str">
        <f>INDEX([1]Sheet1!$A$1:$G$108, MATCH(B724,[1]Sheet1!$B:$B,0), 1)</f>
        <v>Phenolphthalein</v>
      </c>
      <c r="L724" t="str">
        <f>INDEX([1]Sheet1!$A$1:$G$108, MATCH(B724,[1]Sheet1!$B:$B,0), 3)</f>
        <v>moderate</v>
      </c>
      <c r="M724" t="s">
        <v>109</v>
      </c>
    </row>
    <row r="725" spans="1:13" x14ac:dyDescent="0.3">
      <c r="A725" t="s">
        <v>86</v>
      </c>
      <c r="B725" t="str">
        <f>_xlfn.TEXTBEFORE(_xlfn.TEXTAFTER(A725,"cas-"),"_")</f>
        <v>77-09-8</v>
      </c>
      <c r="C725" t="s">
        <v>26</v>
      </c>
      <c r="D725" t="s">
        <v>14</v>
      </c>
      <c r="E725" t="s">
        <v>12</v>
      </c>
      <c r="F725">
        <v>-4.92</v>
      </c>
      <c r="G725">
        <v>0.7631</v>
      </c>
      <c r="H725">
        <v>7.1289999999999996</v>
      </c>
      <c r="I725">
        <v>5.4401398999999993</v>
      </c>
      <c r="K725" t="str">
        <f>INDEX([1]Sheet1!$A$1:$G$108, MATCH(B725,[1]Sheet1!$B:$B,0), 1)</f>
        <v>Phenolphthalein</v>
      </c>
      <c r="L725" t="str">
        <f>INDEX([1]Sheet1!$A$1:$G$108, MATCH(B725,[1]Sheet1!$B:$B,0), 3)</f>
        <v>moderate</v>
      </c>
      <c r="M725" t="s">
        <v>109</v>
      </c>
    </row>
    <row r="726" spans="1:13" x14ac:dyDescent="0.3">
      <c r="A726" t="s">
        <v>86</v>
      </c>
      <c r="B726" t="str">
        <f>_xlfn.TEXTBEFORE(_xlfn.TEXTAFTER(A726,"cas-"),"_")</f>
        <v>77-09-8</v>
      </c>
      <c r="C726" t="s">
        <v>15</v>
      </c>
      <c r="D726" t="s">
        <v>16</v>
      </c>
      <c r="E726" t="s">
        <v>12</v>
      </c>
      <c r="F726">
        <v>-7.34</v>
      </c>
      <c r="G726">
        <v>0.7208</v>
      </c>
      <c r="H726">
        <v>6.7530000000000001</v>
      </c>
      <c r="I726">
        <v>4.8675623999999997</v>
      </c>
      <c r="K726" t="str">
        <f>INDEX([1]Sheet1!$A$1:$G$108, MATCH(B726,[1]Sheet1!$B:$B,0), 1)</f>
        <v>Phenolphthalein</v>
      </c>
      <c r="L726" t="str">
        <f>INDEX([1]Sheet1!$A$1:$G$108, MATCH(B726,[1]Sheet1!$B:$B,0), 3)</f>
        <v>moderate</v>
      </c>
      <c r="M726" t="s">
        <v>109</v>
      </c>
    </row>
    <row r="727" spans="1:13" x14ac:dyDescent="0.3">
      <c r="A727" t="s">
        <v>86</v>
      </c>
      <c r="B727" t="str">
        <f>_xlfn.TEXTBEFORE(_xlfn.TEXTAFTER(A727,"cas-"),"_")</f>
        <v>77-09-8</v>
      </c>
      <c r="C727" t="s">
        <v>24</v>
      </c>
      <c r="D727" t="s">
        <v>25</v>
      </c>
      <c r="E727" t="s">
        <v>12</v>
      </c>
      <c r="F727">
        <v>-7.36</v>
      </c>
      <c r="G727">
        <v>0.54479999999999995</v>
      </c>
      <c r="H727">
        <v>6.8250000000000002</v>
      </c>
      <c r="I727">
        <v>3.7182599999999999</v>
      </c>
      <c r="K727" t="str">
        <f>INDEX([1]Sheet1!$A$1:$G$108, MATCH(B727,[1]Sheet1!$B:$B,0), 1)</f>
        <v>Phenolphthalein</v>
      </c>
      <c r="L727" t="str">
        <f>INDEX([1]Sheet1!$A$1:$G$108, MATCH(B727,[1]Sheet1!$B:$B,0), 3)</f>
        <v>moderate</v>
      </c>
      <c r="M727" t="s">
        <v>109</v>
      </c>
    </row>
    <row r="728" spans="1:13" x14ac:dyDescent="0.3">
      <c r="A728" t="s">
        <v>86</v>
      </c>
      <c r="B728" t="str">
        <f>_xlfn.TEXTBEFORE(_xlfn.TEXTAFTER(A728,"cas-"),"_")</f>
        <v>77-09-8</v>
      </c>
      <c r="C728" t="s">
        <v>28</v>
      </c>
      <c r="D728" t="s">
        <v>29</v>
      </c>
      <c r="E728" t="s">
        <v>12</v>
      </c>
      <c r="F728">
        <v>-6.5</v>
      </c>
      <c r="G728">
        <v>0.79010000000000002</v>
      </c>
      <c r="H728">
        <v>6.8609999999999998</v>
      </c>
      <c r="I728">
        <v>5.4208761000000001</v>
      </c>
      <c r="K728" t="str">
        <f>INDEX([1]Sheet1!$A$1:$G$108, MATCH(B728,[1]Sheet1!$B:$B,0), 1)</f>
        <v>Phenolphthalein</v>
      </c>
      <c r="L728" t="str">
        <f>INDEX([1]Sheet1!$A$1:$G$108, MATCH(B728,[1]Sheet1!$B:$B,0), 3)</f>
        <v>moderate</v>
      </c>
      <c r="M728" t="s">
        <v>109</v>
      </c>
    </row>
    <row r="729" spans="1:13" x14ac:dyDescent="0.3">
      <c r="A729" t="s">
        <v>86</v>
      </c>
      <c r="B729" t="str">
        <f>_xlfn.TEXTBEFORE(_xlfn.TEXTAFTER(A729,"cas-"),"_")</f>
        <v>77-09-8</v>
      </c>
      <c r="C729" t="s">
        <v>13</v>
      </c>
      <c r="D729" t="s">
        <v>14</v>
      </c>
      <c r="E729" t="s">
        <v>12</v>
      </c>
      <c r="F729">
        <v>-5.63</v>
      </c>
      <c r="G729">
        <v>0.71089999999999998</v>
      </c>
      <c r="H729">
        <v>7.12</v>
      </c>
      <c r="I729">
        <v>5.0616079999999997</v>
      </c>
      <c r="K729" t="str">
        <f>INDEX([1]Sheet1!$A$1:$G$108, MATCH(B729,[1]Sheet1!$B:$B,0), 1)</f>
        <v>Phenolphthalein</v>
      </c>
      <c r="L729" t="str">
        <f>INDEX([1]Sheet1!$A$1:$G$108, MATCH(B729,[1]Sheet1!$B:$B,0), 3)</f>
        <v>moderate</v>
      </c>
      <c r="M729" t="s">
        <v>109</v>
      </c>
    </row>
    <row r="730" spans="1:13" x14ac:dyDescent="0.3">
      <c r="A730" t="s">
        <v>87</v>
      </c>
      <c r="B730" t="str">
        <f>_xlfn.TEXTBEFORE(_xlfn.TEXTAFTER(A730,"cas-"),"_")</f>
        <v>77-40-7</v>
      </c>
      <c r="C730" t="s">
        <v>13</v>
      </c>
      <c r="D730" t="s">
        <v>14</v>
      </c>
      <c r="E730" t="s">
        <v>12</v>
      </c>
      <c r="F730">
        <v>-8.6199999999999992</v>
      </c>
      <c r="G730">
        <v>0.93489999999999995</v>
      </c>
      <c r="H730">
        <v>7.4359999999999999</v>
      </c>
      <c r="I730">
        <v>6.9519164</v>
      </c>
      <c r="K730" t="str">
        <f>INDEX([1]Sheet1!$A$1:$G$108, MATCH(B730,[1]Sheet1!$B:$B,0), 1)</f>
        <v>Bisphenol B</v>
      </c>
      <c r="L730" t="str">
        <f>INDEX([1]Sheet1!$A$1:$G$108, MATCH(B730,[1]Sheet1!$B:$B,0), 3)</f>
        <v>moderate</v>
      </c>
      <c r="M730" t="s">
        <v>109</v>
      </c>
    </row>
    <row r="731" spans="1:13" x14ac:dyDescent="0.3">
      <c r="A731" t="s">
        <v>87</v>
      </c>
      <c r="B731" t="str">
        <f>_xlfn.TEXTBEFORE(_xlfn.TEXTAFTER(A731,"cas-"),"_")</f>
        <v>77-40-7</v>
      </c>
      <c r="C731" t="s">
        <v>24</v>
      </c>
      <c r="D731" t="s">
        <v>25</v>
      </c>
      <c r="E731" t="s">
        <v>12</v>
      </c>
      <c r="F731">
        <v>-8.4700000000000006</v>
      </c>
      <c r="G731">
        <v>0.76559999999999995</v>
      </c>
      <c r="H731">
        <v>7.5090000000000003</v>
      </c>
      <c r="I731">
        <v>5.7488903999999996</v>
      </c>
      <c r="K731" t="str">
        <f>INDEX([1]Sheet1!$A$1:$G$108, MATCH(B731,[1]Sheet1!$B:$B,0), 1)</f>
        <v>Bisphenol B</v>
      </c>
      <c r="L731" t="str">
        <f>INDEX([1]Sheet1!$A$1:$G$108, MATCH(B731,[1]Sheet1!$B:$B,0), 3)</f>
        <v>moderate</v>
      </c>
      <c r="M731" t="s">
        <v>109</v>
      </c>
    </row>
    <row r="732" spans="1:13" x14ac:dyDescent="0.3">
      <c r="A732" t="s">
        <v>87</v>
      </c>
      <c r="B732" t="str">
        <f>_xlfn.TEXTBEFORE(_xlfn.TEXTAFTER(A732,"cas-"),"_")</f>
        <v>77-40-7</v>
      </c>
      <c r="C732" t="s">
        <v>10</v>
      </c>
      <c r="D732" t="s">
        <v>11</v>
      </c>
      <c r="E732" t="s">
        <v>12</v>
      </c>
      <c r="F732">
        <v>-8.26</v>
      </c>
      <c r="G732">
        <v>0.83109999999999995</v>
      </c>
      <c r="H732">
        <v>6.9619999999999997</v>
      </c>
      <c r="I732">
        <v>5.7861181999999998</v>
      </c>
      <c r="K732" t="str">
        <f>INDEX([1]Sheet1!$A$1:$G$108, MATCH(B732,[1]Sheet1!$B:$B,0), 1)</f>
        <v>Bisphenol B</v>
      </c>
      <c r="L732" t="str">
        <f>INDEX([1]Sheet1!$A$1:$G$108, MATCH(B732,[1]Sheet1!$B:$B,0), 3)</f>
        <v>moderate</v>
      </c>
      <c r="M732" t="s">
        <v>109</v>
      </c>
    </row>
    <row r="733" spans="1:13" x14ac:dyDescent="0.3">
      <c r="A733" t="s">
        <v>87</v>
      </c>
      <c r="B733" t="str">
        <f>_xlfn.TEXTBEFORE(_xlfn.TEXTAFTER(A733,"cas-"),"_")</f>
        <v>77-40-7</v>
      </c>
      <c r="C733" t="s">
        <v>28</v>
      </c>
      <c r="D733" t="s">
        <v>29</v>
      </c>
      <c r="E733" t="s">
        <v>12</v>
      </c>
      <c r="F733">
        <v>-8.52</v>
      </c>
      <c r="G733">
        <v>0.92369999999999997</v>
      </c>
      <c r="H733">
        <v>7.2210000000000001</v>
      </c>
      <c r="I733">
        <v>6.6700377</v>
      </c>
      <c r="K733" t="str">
        <f>INDEX([1]Sheet1!$A$1:$G$108, MATCH(B733,[1]Sheet1!$B:$B,0), 1)</f>
        <v>Bisphenol B</v>
      </c>
      <c r="L733" t="str">
        <f>INDEX([1]Sheet1!$A$1:$G$108, MATCH(B733,[1]Sheet1!$B:$B,0), 3)</f>
        <v>moderate</v>
      </c>
      <c r="M733" t="s">
        <v>109</v>
      </c>
    </row>
    <row r="734" spans="1:13" x14ac:dyDescent="0.3">
      <c r="A734" t="s">
        <v>87</v>
      </c>
      <c r="B734" t="str">
        <f>_xlfn.TEXTBEFORE(_xlfn.TEXTAFTER(A734,"cas-"),"_")</f>
        <v>77-40-7</v>
      </c>
      <c r="C734" t="s">
        <v>30</v>
      </c>
      <c r="D734" t="s">
        <v>31</v>
      </c>
      <c r="E734" t="s">
        <v>12</v>
      </c>
      <c r="F734">
        <v>-8.07</v>
      </c>
      <c r="G734">
        <v>0.94750000000000001</v>
      </c>
      <c r="H734">
        <v>7.3070000000000004</v>
      </c>
      <c r="I734">
        <v>6.9233825000000007</v>
      </c>
      <c r="K734" t="str">
        <f>INDEX([1]Sheet1!$A$1:$G$108, MATCH(B734,[1]Sheet1!$B:$B,0), 1)</f>
        <v>Bisphenol B</v>
      </c>
      <c r="L734" t="str">
        <f>INDEX([1]Sheet1!$A$1:$G$108, MATCH(B734,[1]Sheet1!$B:$B,0), 3)</f>
        <v>moderate</v>
      </c>
      <c r="M734" t="s">
        <v>109</v>
      </c>
    </row>
    <row r="735" spans="1:13" x14ac:dyDescent="0.3">
      <c r="A735" t="s">
        <v>87</v>
      </c>
      <c r="B735" t="str">
        <f>_xlfn.TEXTBEFORE(_xlfn.TEXTAFTER(A735,"cas-"),"_")</f>
        <v>77-40-7</v>
      </c>
      <c r="C735" t="s">
        <v>27</v>
      </c>
      <c r="D735" t="s">
        <v>11</v>
      </c>
      <c r="E735" t="s">
        <v>12</v>
      </c>
      <c r="F735">
        <v>-8.26</v>
      </c>
      <c r="G735">
        <v>0.8085</v>
      </c>
      <c r="H735">
        <v>7.2140000000000004</v>
      </c>
      <c r="I735">
        <v>5.8325189999999996</v>
      </c>
      <c r="K735" t="str">
        <f>INDEX([1]Sheet1!$A$1:$G$108, MATCH(B735,[1]Sheet1!$B:$B,0), 1)</f>
        <v>Bisphenol B</v>
      </c>
      <c r="L735" t="str">
        <f>INDEX([1]Sheet1!$A$1:$G$108, MATCH(B735,[1]Sheet1!$B:$B,0), 3)</f>
        <v>moderate</v>
      </c>
      <c r="M735" t="s">
        <v>109</v>
      </c>
    </row>
    <row r="736" spans="1:13" x14ac:dyDescent="0.3">
      <c r="A736" t="s">
        <v>87</v>
      </c>
      <c r="B736" t="str">
        <f>_xlfn.TEXTBEFORE(_xlfn.TEXTAFTER(A736,"cas-"),"_")</f>
        <v>77-40-7</v>
      </c>
      <c r="C736" t="s">
        <v>18</v>
      </c>
      <c r="D736" t="s">
        <v>11</v>
      </c>
      <c r="E736" t="s">
        <v>12</v>
      </c>
      <c r="F736">
        <v>-7.16</v>
      </c>
      <c r="G736">
        <v>0.8649</v>
      </c>
      <c r="H736">
        <v>7.3360000000000003</v>
      </c>
      <c r="I736">
        <v>6.3449064000000002</v>
      </c>
      <c r="K736" t="str">
        <f>INDEX([1]Sheet1!$A$1:$G$108, MATCH(B736,[1]Sheet1!$B:$B,0), 1)</f>
        <v>Bisphenol B</v>
      </c>
      <c r="L736" t="str">
        <f>INDEX([1]Sheet1!$A$1:$G$108, MATCH(B736,[1]Sheet1!$B:$B,0), 3)</f>
        <v>moderate</v>
      </c>
      <c r="M736" t="s">
        <v>109</v>
      </c>
    </row>
    <row r="737" spans="1:13" x14ac:dyDescent="0.3">
      <c r="A737" t="s">
        <v>87</v>
      </c>
      <c r="B737" t="str">
        <f>_xlfn.TEXTBEFORE(_xlfn.TEXTAFTER(A737,"cas-"),"_")</f>
        <v>77-40-7</v>
      </c>
      <c r="C737" t="s">
        <v>17</v>
      </c>
      <c r="D737" t="s">
        <v>11</v>
      </c>
      <c r="E737" t="s">
        <v>12</v>
      </c>
      <c r="F737">
        <v>-8.92</v>
      </c>
      <c r="G737">
        <v>0.9123</v>
      </c>
      <c r="H737">
        <v>7.34</v>
      </c>
      <c r="I737">
        <v>6.6962820000000001</v>
      </c>
      <c r="K737" t="str">
        <f>INDEX([1]Sheet1!$A$1:$G$108, MATCH(B737,[1]Sheet1!$B:$B,0), 1)</f>
        <v>Bisphenol B</v>
      </c>
      <c r="L737" t="str">
        <f>INDEX([1]Sheet1!$A$1:$G$108, MATCH(B737,[1]Sheet1!$B:$B,0), 3)</f>
        <v>moderate</v>
      </c>
      <c r="M737" t="s">
        <v>109</v>
      </c>
    </row>
    <row r="738" spans="1:13" x14ac:dyDescent="0.3">
      <c r="A738" t="s">
        <v>87</v>
      </c>
      <c r="B738" t="str">
        <f>_xlfn.TEXTBEFORE(_xlfn.TEXTAFTER(A738,"cas-"),"_")</f>
        <v>77-40-7</v>
      </c>
      <c r="C738" t="s">
        <v>26</v>
      </c>
      <c r="D738" t="s">
        <v>14</v>
      </c>
      <c r="E738" t="s">
        <v>12</v>
      </c>
      <c r="F738">
        <v>-8.1199999999999992</v>
      </c>
      <c r="G738">
        <v>0.90990000000000004</v>
      </c>
      <c r="H738">
        <v>7.2610000000000001</v>
      </c>
      <c r="I738">
        <v>6.6067839000000008</v>
      </c>
      <c r="K738" t="str">
        <f>INDEX([1]Sheet1!$A$1:$G$108, MATCH(B738,[1]Sheet1!$B:$B,0), 1)</f>
        <v>Bisphenol B</v>
      </c>
      <c r="L738" t="str">
        <f>INDEX([1]Sheet1!$A$1:$G$108, MATCH(B738,[1]Sheet1!$B:$B,0), 3)</f>
        <v>moderate</v>
      </c>
      <c r="M738" t="s">
        <v>109</v>
      </c>
    </row>
    <row r="739" spans="1:13" x14ac:dyDescent="0.3">
      <c r="A739" t="s">
        <v>87</v>
      </c>
      <c r="B739" t="str">
        <f>_xlfn.TEXTBEFORE(_xlfn.TEXTAFTER(A739,"cas-"),"_")</f>
        <v>77-40-7</v>
      </c>
      <c r="C739" t="s">
        <v>22</v>
      </c>
      <c r="D739" t="s">
        <v>23</v>
      </c>
      <c r="E739" t="s">
        <v>12</v>
      </c>
      <c r="F739">
        <v>-7.92</v>
      </c>
      <c r="G739">
        <v>0.83550000000000002</v>
      </c>
      <c r="H739">
        <v>6.8220000000000001</v>
      </c>
      <c r="I739">
        <v>5.6997809999999998</v>
      </c>
      <c r="K739" t="str">
        <f>INDEX([1]Sheet1!$A$1:$G$108, MATCH(B739,[1]Sheet1!$B:$B,0), 1)</f>
        <v>Bisphenol B</v>
      </c>
      <c r="L739" t="str">
        <f>INDEX([1]Sheet1!$A$1:$G$108, MATCH(B739,[1]Sheet1!$B:$B,0), 3)</f>
        <v>moderate</v>
      </c>
      <c r="M739" t="s">
        <v>109</v>
      </c>
    </row>
    <row r="740" spans="1:13" x14ac:dyDescent="0.3">
      <c r="A740" t="s">
        <v>87</v>
      </c>
      <c r="B740" t="str">
        <f>_xlfn.TEXTBEFORE(_xlfn.TEXTAFTER(A740,"cas-"),"_")</f>
        <v>77-40-7</v>
      </c>
      <c r="C740" t="s">
        <v>15</v>
      </c>
      <c r="D740" t="s">
        <v>16</v>
      </c>
      <c r="E740" t="s">
        <v>12</v>
      </c>
      <c r="F740">
        <v>-8.44</v>
      </c>
      <c r="G740">
        <v>0.83209999999999995</v>
      </c>
      <c r="H740">
        <v>6.9649999999999999</v>
      </c>
      <c r="I740">
        <v>5.7955764999999992</v>
      </c>
      <c r="K740" t="str">
        <f>INDEX([1]Sheet1!$A$1:$G$108, MATCH(B740,[1]Sheet1!$B:$B,0), 1)</f>
        <v>Bisphenol B</v>
      </c>
      <c r="L740" t="str">
        <f>INDEX([1]Sheet1!$A$1:$G$108, MATCH(B740,[1]Sheet1!$B:$B,0), 3)</f>
        <v>moderate</v>
      </c>
      <c r="M740" t="s">
        <v>109</v>
      </c>
    </row>
    <row r="741" spans="1:13" x14ac:dyDescent="0.3">
      <c r="A741" t="s">
        <v>87</v>
      </c>
      <c r="B741" t="str">
        <f>_xlfn.TEXTBEFORE(_xlfn.TEXTAFTER(A741,"cas-"),"_")</f>
        <v>77-40-7</v>
      </c>
      <c r="C741" t="s">
        <v>21</v>
      </c>
      <c r="D741" t="s">
        <v>11</v>
      </c>
      <c r="E741" t="s">
        <v>12</v>
      </c>
      <c r="F741">
        <v>-8.7899999999999991</v>
      </c>
      <c r="G741">
        <v>0.90029999999999999</v>
      </c>
      <c r="H741">
        <v>7.28</v>
      </c>
      <c r="I741">
        <v>6.5541840000000002</v>
      </c>
      <c r="K741" t="str">
        <f>INDEX([1]Sheet1!$A$1:$G$108, MATCH(B741,[1]Sheet1!$B:$B,0), 1)</f>
        <v>Bisphenol B</v>
      </c>
      <c r="L741" t="str">
        <f>INDEX([1]Sheet1!$A$1:$G$108, MATCH(B741,[1]Sheet1!$B:$B,0), 3)</f>
        <v>moderate</v>
      </c>
      <c r="M741" t="s">
        <v>109</v>
      </c>
    </row>
    <row r="742" spans="1:13" x14ac:dyDescent="0.3">
      <c r="A742" t="s">
        <v>87</v>
      </c>
      <c r="B742" t="str">
        <f>_xlfn.TEXTBEFORE(_xlfn.TEXTAFTER(A742,"cas-"),"_")</f>
        <v>77-40-7</v>
      </c>
      <c r="C742" t="s">
        <v>19</v>
      </c>
      <c r="D742" t="s">
        <v>20</v>
      </c>
      <c r="E742" t="s">
        <v>12</v>
      </c>
      <c r="F742">
        <v>-8.48</v>
      </c>
      <c r="G742">
        <v>0.82089999999999996</v>
      </c>
      <c r="H742">
        <v>7.1159999999999997</v>
      </c>
      <c r="I742">
        <v>5.8415243999999991</v>
      </c>
      <c r="K742" t="str">
        <f>INDEX([1]Sheet1!$A$1:$G$108, MATCH(B742,[1]Sheet1!$B:$B,0), 1)</f>
        <v>Bisphenol B</v>
      </c>
      <c r="L742" t="str">
        <f>INDEX([1]Sheet1!$A$1:$G$108, MATCH(B742,[1]Sheet1!$B:$B,0), 3)</f>
        <v>moderate</v>
      </c>
      <c r="M742" t="s">
        <v>109</v>
      </c>
    </row>
    <row r="743" spans="1:13" x14ac:dyDescent="0.3">
      <c r="A743" t="s">
        <v>88</v>
      </c>
      <c r="B743" t="str">
        <f>_xlfn.TEXTBEFORE(_xlfn.TEXTAFTER(A743,"cas-"),"_")</f>
        <v>7773-34-4</v>
      </c>
      <c r="C743" t="s">
        <v>24</v>
      </c>
      <c r="D743" t="s">
        <v>25</v>
      </c>
      <c r="E743" t="s">
        <v>12</v>
      </c>
      <c r="F743">
        <v>-4.9400000000000004</v>
      </c>
      <c r="G743">
        <v>0.69330000000000003</v>
      </c>
      <c r="H743">
        <v>7.4139999999999997</v>
      </c>
      <c r="I743">
        <v>5.1401262000000001</v>
      </c>
      <c r="K743" t="str">
        <f>INDEX([1]Sheet1!$A$1:$G$108, MATCH(B743,[1]Sheet1!$B:$B,0), 1)</f>
        <v>Diethylstilbestrol dimethyl ether</v>
      </c>
      <c r="L743" t="str">
        <f>INDEX([1]Sheet1!$A$1:$G$108, MATCH(B743,[1]Sheet1!$B:$B,0), 3)</f>
        <v>moderate</v>
      </c>
      <c r="M743" t="s">
        <v>109</v>
      </c>
    </row>
    <row r="744" spans="1:13" x14ac:dyDescent="0.3">
      <c r="A744" t="s">
        <v>88</v>
      </c>
      <c r="B744" t="str">
        <f>_xlfn.TEXTBEFORE(_xlfn.TEXTAFTER(A744,"cas-"),"_")</f>
        <v>7773-34-4</v>
      </c>
      <c r="C744" t="s">
        <v>28</v>
      </c>
      <c r="D744" t="s">
        <v>29</v>
      </c>
      <c r="E744" t="s">
        <v>12</v>
      </c>
      <c r="F744">
        <v>-3.99</v>
      </c>
      <c r="G744">
        <v>0.69730000000000003</v>
      </c>
      <c r="H744">
        <v>7.3470000000000004</v>
      </c>
      <c r="I744">
        <v>5.1230631000000004</v>
      </c>
      <c r="K744" t="str">
        <f>INDEX([1]Sheet1!$A$1:$G$108, MATCH(B744,[1]Sheet1!$B:$B,0), 1)</f>
        <v>Diethylstilbestrol dimethyl ether</v>
      </c>
      <c r="L744" t="str">
        <f>INDEX([1]Sheet1!$A$1:$G$108, MATCH(B744,[1]Sheet1!$B:$B,0), 3)</f>
        <v>moderate</v>
      </c>
      <c r="M744" t="s">
        <v>109</v>
      </c>
    </row>
    <row r="745" spans="1:13" x14ac:dyDescent="0.3">
      <c r="A745" t="s">
        <v>88</v>
      </c>
      <c r="B745" t="str">
        <f>_xlfn.TEXTBEFORE(_xlfn.TEXTAFTER(A745,"cas-"),"_")</f>
        <v>7773-34-4</v>
      </c>
      <c r="C745" t="s">
        <v>18</v>
      </c>
      <c r="D745" t="s">
        <v>11</v>
      </c>
      <c r="E745" t="s">
        <v>12</v>
      </c>
      <c r="F745">
        <v>-5.08</v>
      </c>
      <c r="G745">
        <v>0.69630000000000003</v>
      </c>
      <c r="H745">
        <v>7.399</v>
      </c>
      <c r="I745">
        <v>5.1519237000000002</v>
      </c>
      <c r="K745" t="str">
        <f>INDEX([1]Sheet1!$A$1:$G$108, MATCH(B745,[1]Sheet1!$B:$B,0), 1)</f>
        <v>Diethylstilbestrol dimethyl ether</v>
      </c>
      <c r="L745" t="str">
        <f>INDEX([1]Sheet1!$A$1:$G$108, MATCH(B745,[1]Sheet1!$B:$B,0), 3)</f>
        <v>moderate</v>
      </c>
      <c r="M745" t="s">
        <v>109</v>
      </c>
    </row>
    <row r="746" spans="1:13" x14ac:dyDescent="0.3">
      <c r="A746" t="s">
        <v>88</v>
      </c>
      <c r="B746" t="str">
        <f>_xlfn.TEXTBEFORE(_xlfn.TEXTAFTER(A746,"cas-"),"_")</f>
        <v>7773-34-4</v>
      </c>
      <c r="C746" t="s">
        <v>21</v>
      </c>
      <c r="D746" t="s">
        <v>11</v>
      </c>
      <c r="E746" t="s">
        <v>12</v>
      </c>
      <c r="F746">
        <v>-5.95</v>
      </c>
      <c r="G746">
        <v>0.76139999999999997</v>
      </c>
      <c r="H746">
        <v>7.694</v>
      </c>
      <c r="I746">
        <v>5.8582115999999997</v>
      </c>
      <c r="K746" t="str">
        <f>INDEX([1]Sheet1!$A$1:$G$108, MATCH(B746,[1]Sheet1!$B:$B,0), 1)</f>
        <v>Diethylstilbestrol dimethyl ether</v>
      </c>
      <c r="L746" t="str">
        <f>INDEX([1]Sheet1!$A$1:$G$108, MATCH(B746,[1]Sheet1!$B:$B,0), 3)</f>
        <v>moderate</v>
      </c>
      <c r="M746" t="s">
        <v>109</v>
      </c>
    </row>
    <row r="747" spans="1:13" x14ac:dyDescent="0.3">
      <c r="A747" t="s">
        <v>88</v>
      </c>
      <c r="B747" t="str">
        <f>_xlfn.TEXTBEFORE(_xlfn.TEXTAFTER(A747,"cas-"),"_")</f>
        <v>7773-34-4</v>
      </c>
      <c r="C747" t="s">
        <v>22</v>
      </c>
      <c r="D747" t="s">
        <v>23</v>
      </c>
      <c r="E747" t="s">
        <v>12</v>
      </c>
      <c r="F747">
        <v>0.37</v>
      </c>
      <c r="G747">
        <v>0.57230000000000003</v>
      </c>
      <c r="H747">
        <v>7.5309999999999997</v>
      </c>
      <c r="I747">
        <v>4.3099913000000001</v>
      </c>
      <c r="K747" t="str">
        <f>INDEX([1]Sheet1!$A$1:$G$108, MATCH(B747,[1]Sheet1!$B:$B,0), 1)</f>
        <v>Diethylstilbestrol dimethyl ether</v>
      </c>
      <c r="L747" t="str">
        <f>INDEX([1]Sheet1!$A$1:$G$108, MATCH(B747,[1]Sheet1!$B:$B,0), 3)</f>
        <v>moderate</v>
      </c>
      <c r="M747" t="s">
        <v>109</v>
      </c>
    </row>
    <row r="748" spans="1:13" x14ac:dyDescent="0.3">
      <c r="A748" t="s">
        <v>88</v>
      </c>
      <c r="B748" t="str">
        <f>_xlfn.TEXTBEFORE(_xlfn.TEXTAFTER(A748,"cas-"),"_")</f>
        <v>7773-34-4</v>
      </c>
      <c r="C748" t="s">
        <v>13</v>
      </c>
      <c r="D748" t="s">
        <v>14</v>
      </c>
      <c r="E748" t="s">
        <v>12</v>
      </c>
      <c r="F748">
        <v>-6.54</v>
      </c>
      <c r="G748">
        <v>0.86650000000000005</v>
      </c>
      <c r="H748">
        <v>7.8959999999999999</v>
      </c>
      <c r="I748">
        <v>6.8418840000000003</v>
      </c>
      <c r="K748" t="str">
        <f>INDEX([1]Sheet1!$A$1:$G$108, MATCH(B748,[1]Sheet1!$B:$B,0), 1)</f>
        <v>Diethylstilbestrol dimethyl ether</v>
      </c>
      <c r="L748" t="str">
        <f>INDEX([1]Sheet1!$A$1:$G$108, MATCH(B748,[1]Sheet1!$B:$B,0), 3)</f>
        <v>moderate</v>
      </c>
      <c r="M748" t="s">
        <v>109</v>
      </c>
    </row>
    <row r="749" spans="1:13" x14ac:dyDescent="0.3">
      <c r="A749" t="s">
        <v>88</v>
      </c>
      <c r="B749" t="str">
        <f>_xlfn.TEXTBEFORE(_xlfn.TEXTAFTER(A749,"cas-"),"_")</f>
        <v>7773-34-4</v>
      </c>
      <c r="C749" t="s">
        <v>19</v>
      </c>
      <c r="D749" t="s">
        <v>20</v>
      </c>
      <c r="E749" t="s">
        <v>12</v>
      </c>
      <c r="F749">
        <v>-5.09</v>
      </c>
      <c r="G749">
        <v>0.65990000000000004</v>
      </c>
      <c r="H749">
        <v>7.2850000000000001</v>
      </c>
      <c r="I749">
        <v>4.8073715000000004</v>
      </c>
      <c r="K749" t="str">
        <f>INDEX([1]Sheet1!$A$1:$G$108, MATCH(B749,[1]Sheet1!$B:$B,0), 1)</f>
        <v>Diethylstilbestrol dimethyl ether</v>
      </c>
      <c r="L749" t="str">
        <f>INDEX([1]Sheet1!$A$1:$G$108, MATCH(B749,[1]Sheet1!$B:$B,0), 3)</f>
        <v>moderate</v>
      </c>
      <c r="M749" t="s">
        <v>109</v>
      </c>
    </row>
    <row r="750" spans="1:13" x14ac:dyDescent="0.3">
      <c r="A750" t="s">
        <v>88</v>
      </c>
      <c r="B750" t="str">
        <f>_xlfn.TEXTBEFORE(_xlfn.TEXTAFTER(A750,"cas-"),"_")</f>
        <v>7773-34-4</v>
      </c>
      <c r="C750" t="s">
        <v>15</v>
      </c>
      <c r="D750" t="s">
        <v>16</v>
      </c>
      <c r="E750" t="s">
        <v>12</v>
      </c>
      <c r="F750">
        <v>-0.93</v>
      </c>
      <c r="G750">
        <v>0.61419999999999997</v>
      </c>
      <c r="H750">
        <v>7.2350000000000003</v>
      </c>
      <c r="I750">
        <v>4.4437369999999996</v>
      </c>
      <c r="K750" t="str">
        <f>INDEX([1]Sheet1!$A$1:$G$108, MATCH(B750,[1]Sheet1!$B:$B,0), 1)</f>
        <v>Diethylstilbestrol dimethyl ether</v>
      </c>
      <c r="L750" t="str">
        <f>INDEX([1]Sheet1!$A$1:$G$108, MATCH(B750,[1]Sheet1!$B:$B,0), 3)</f>
        <v>moderate</v>
      </c>
      <c r="M750" t="s">
        <v>109</v>
      </c>
    </row>
    <row r="751" spans="1:13" x14ac:dyDescent="0.3">
      <c r="A751" t="s">
        <v>88</v>
      </c>
      <c r="B751" t="str">
        <f>_xlfn.TEXTBEFORE(_xlfn.TEXTAFTER(A751,"cas-"),"_")</f>
        <v>7773-34-4</v>
      </c>
      <c r="C751" t="s">
        <v>17</v>
      </c>
      <c r="D751" t="s">
        <v>11</v>
      </c>
      <c r="E751" t="s">
        <v>12</v>
      </c>
      <c r="F751">
        <v>-4.09</v>
      </c>
      <c r="G751">
        <v>0.6179</v>
      </c>
      <c r="H751">
        <v>7.3710000000000004</v>
      </c>
      <c r="I751">
        <v>4.5545409000000001</v>
      </c>
      <c r="K751" t="str">
        <f>INDEX([1]Sheet1!$A$1:$G$108, MATCH(B751,[1]Sheet1!$B:$B,0), 1)</f>
        <v>Diethylstilbestrol dimethyl ether</v>
      </c>
      <c r="L751" t="str">
        <f>INDEX([1]Sheet1!$A$1:$G$108, MATCH(B751,[1]Sheet1!$B:$B,0), 3)</f>
        <v>moderate</v>
      </c>
      <c r="M751" t="s">
        <v>109</v>
      </c>
    </row>
    <row r="752" spans="1:13" x14ac:dyDescent="0.3">
      <c r="A752" t="s">
        <v>88</v>
      </c>
      <c r="B752" t="str">
        <f>_xlfn.TEXTBEFORE(_xlfn.TEXTAFTER(A752,"cas-"),"_")</f>
        <v>7773-34-4</v>
      </c>
      <c r="C752" t="s">
        <v>27</v>
      </c>
      <c r="D752" t="s">
        <v>11</v>
      </c>
      <c r="E752" t="s">
        <v>12</v>
      </c>
      <c r="F752">
        <v>-3.77</v>
      </c>
      <c r="G752">
        <v>0.66610000000000003</v>
      </c>
      <c r="H752">
        <v>7.399</v>
      </c>
      <c r="I752">
        <v>4.9284739000000002</v>
      </c>
      <c r="K752" t="str">
        <f>INDEX([1]Sheet1!$A$1:$G$108, MATCH(B752,[1]Sheet1!$B:$B,0), 1)</f>
        <v>Diethylstilbestrol dimethyl ether</v>
      </c>
      <c r="L752" t="str">
        <f>INDEX([1]Sheet1!$A$1:$G$108, MATCH(B752,[1]Sheet1!$B:$B,0), 3)</f>
        <v>moderate</v>
      </c>
      <c r="M752" t="s">
        <v>109</v>
      </c>
    </row>
    <row r="753" spans="1:13" x14ac:dyDescent="0.3">
      <c r="A753" t="s">
        <v>88</v>
      </c>
      <c r="B753" t="str">
        <f>_xlfn.TEXTBEFORE(_xlfn.TEXTAFTER(A753,"cas-"),"_")</f>
        <v>7773-34-4</v>
      </c>
      <c r="C753" t="s">
        <v>30</v>
      </c>
      <c r="D753" t="s">
        <v>31</v>
      </c>
      <c r="E753" t="s">
        <v>12</v>
      </c>
      <c r="F753">
        <v>-3.15</v>
      </c>
      <c r="G753">
        <v>0.68179999999999996</v>
      </c>
      <c r="H753">
        <v>7.4249999999999998</v>
      </c>
      <c r="I753">
        <v>5.0623649999999998</v>
      </c>
      <c r="K753" t="str">
        <f>INDEX([1]Sheet1!$A$1:$G$108, MATCH(B753,[1]Sheet1!$B:$B,0), 1)</f>
        <v>Diethylstilbestrol dimethyl ether</v>
      </c>
      <c r="L753" t="str">
        <f>INDEX([1]Sheet1!$A$1:$G$108, MATCH(B753,[1]Sheet1!$B:$B,0), 3)</f>
        <v>moderate</v>
      </c>
      <c r="M753" t="s">
        <v>109</v>
      </c>
    </row>
    <row r="754" spans="1:13" x14ac:dyDescent="0.3">
      <c r="A754" t="s">
        <v>88</v>
      </c>
      <c r="B754" t="str">
        <f>_xlfn.TEXTBEFORE(_xlfn.TEXTAFTER(A754,"cas-"),"_")</f>
        <v>7773-34-4</v>
      </c>
      <c r="C754" t="s">
        <v>26</v>
      </c>
      <c r="D754" t="s">
        <v>14</v>
      </c>
      <c r="E754" t="s">
        <v>12</v>
      </c>
      <c r="F754">
        <v>-6.86</v>
      </c>
      <c r="G754">
        <v>0.83389999999999997</v>
      </c>
      <c r="H754">
        <v>7.6680000000000001</v>
      </c>
      <c r="I754">
        <v>6.3943452000000001</v>
      </c>
      <c r="K754" t="str">
        <f>INDEX([1]Sheet1!$A$1:$G$108, MATCH(B754,[1]Sheet1!$B:$B,0), 1)</f>
        <v>Diethylstilbestrol dimethyl ether</v>
      </c>
      <c r="L754" t="str">
        <f>INDEX([1]Sheet1!$A$1:$G$108, MATCH(B754,[1]Sheet1!$B:$B,0), 3)</f>
        <v>moderate</v>
      </c>
      <c r="M754" t="s">
        <v>109</v>
      </c>
    </row>
    <row r="755" spans="1:13" x14ac:dyDescent="0.3">
      <c r="A755" t="s">
        <v>88</v>
      </c>
      <c r="B755" t="str">
        <f>_xlfn.TEXTBEFORE(_xlfn.TEXTAFTER(A755,"cas-"),"_")</f>
        <v>7773-34-4</v>
      </c>
      <c r="C755" t="s">
        <v>10</v>
      </c>
      <c r="D755" t="s">
        <v>11</v>
      </c>
      <c r="E755" t="s">
        <v>12</v>
      </c>
      <c r="F755">
        <v>-4.95</v>
      </c>
      <c r="G755">
        <v>0.7278</v>
      </c>
      <c r="H755">
        <v>7.4829999999999997</v>
      </c>
      <c r="I755">
        <v>5.4461274</v>
      </c>
      <c r="K755" t="str">
        <f>INDEX([1]Sheet1!$A$1:$G$108, MATCH(B755,[1]Sheet1!$B:$B,0), 1)</f>
        <v>Diethylstilbestrol dimethyl ether</v>
      </c>
      <c r="L755" t="str">
        <f>INDEX([1]Sheet1!$A$1:$G$108, MATCH(B755,[1]Sheet1!$B:$B,0), 3)</f>
        <v>moderate</v>
      </c>
      <c r="M755" t="s">
        <v>109</v>
      </c>
    </row>
    <row r="756" spans="1:13" x14ac:dyDescent="0.3">
      <c r="A756" t="s">
        <v>89</v>
      </c>
      <c r="B756" t="str">
        <f>_xlfn.TEXTBEFORE(_xlfn.TEXTAFTER(A756,"cas-"),"_")</f>
        <v>789-02-6</v>
      </c>
      <c r="C756" t="s">
        <v>19</v>
      </c>
      <c r="D756" t="s">
        <v>20</v>
      </c>
      <c r="E756" t="s">
        <v>12</v>
      </c>
      <c r="F756">
        <v>-7.45</v>
      </c>
      <c r="G756">
        <v>0.90559999999999996</v>
      </c>
      <c r="H756">
        <v>7.0289999999999999</v>
      </c>
      <c r="I756">
        <v>6.3654623999999993</v>
      </c>
      <c r="K756" t="str">
        <f>INDEX([1]Sheet1!$A$1:$G$108, MATCH(B756,[1]Sheet1!$B:$B,0), 1)</f>
        <v>"o,p'-DDT"</v>
      </c>
      <c r="L756" t="str">
        <f>INDEX([1]Sheet1!$A$1:$G$108, MATCH(B756,[1]Sheet1!$B:$B,0), 3)</f>
        <v>weak</v>
      </c>
      <c r="M756" t="s">
        <v>109</v>
      </c>
    </row>
    <row r="757" spans="1:13" x14ac:dyDescent="0.3">
      <c r="A757" t="s">
        <v>89</v>
      </c>
      <c r="B757" t="str">
        <f>_xlfn.TEXTBEFORE(_xlfn.TEXTAFTER(A757,"cas-"),"_")</f>
        <v>789-02-6</v>
      </c>
      <c r="C757" t="s">
        <v>26</v>
      </c>
      <c r="D757" t="s">
        <v>14</v>
      </c>
      <c r="E757" t="s">
        <v>12</v>
      </c>
      <c r="F757">
        <v>-7.21</v>
      </c>
      <c r="G757">
        <v>0.9</v>
      </c>
      <c r="H757">
        <v>7.0910000000000002</v>
      </c>
      <c r="I757">
        <v>6.3818999999999999</v>
      </c>
      <c r="K757" t="str">
        <f>INDEX([1]Sheet1!$A$1:$G$108, MATCH(B757,[1]Sheet1!$B:$B,0), 1)</f>
        <v>"o,p'-DDT"</v>
      </c>
      <c r="L757" t="str">
        <f>INDEX([1]Sheet1!$A$1:$G$108, MATCH(B757,[1]Sheet1!$B:$B,0), 3)</f>
        <v>weak</v>
      </c>
      <c r="M757" t="s">
        <v>109</v>
      </c>
    </row>
    <row r="758" spans="1:13" x14ac:dyDescent="0.3">
      <c r="A758" t="s">
        <v>89</v>
      </c>
      <c r="B758" t="str">
        <f>_xlfn.TEXTBEFORE(_xlfn.TEXTAFTER(A758,"cas-"),"_")</f>
        <v>789-02-6</v>
      </c>
      <c r="C758" t="s">
        <v>13</v>
      </c>
      <c r="D758" t="s">
        <v>14</v>
      </c>
      <c r="E758" t="s">
        <v>12</v>
      </c>
      <c r="F758">
        <v>-6.29</v>
      </c>
      <c r="G758">
        <v>0.85270000000000001</v>
      </c>
      <c r="H758">
        <v>7.226</v>
      </c>
      <c r="I758">
        <v>6.1616102000000001</v>
      </c>
      <c r="K758" t="str">
        <f>INDEX([1]Sheet1!$A$1:$G$108, MATCH(B758,[1]Sheet1!$B:$B,0), 1)</f>
        <v>"o,p'-DDT"</v>
      </c>
      <c r="L758" t="str">
        <f>INDEX([1]Sheet1!$A$1:$G$108, MATCH(B758,[1]Sheet1!$B:$B,0), 3)</f>
        <v>weak</v>
      </c>
      <c r="M758" t="s">
        <v>109</v>
      </c>
    </row>
    <row r="759" spans="1:13" x14ac:dyDescent="0.3">
      <c r="A759" t="s">
        <v>89</v>
      </c>
      <c r="B759" t="str">
        <f>_xlfn.TEXTBEFORE(_xlfn.TEXTAFTER(A759,"cas-"),"_")</f>
        <v>789-02-6</v>
      </c>
      <c r="C759" t="s">
        <v>24</v>
      </c>
      <c r="D759" t="s">
        <v>25</v>
      </c>
      <c r="E759" t="s">
        <v>12</v>
      </c>
      <c r="F759">
        <v>-8.7100000000000009</v>
      </c>
      <c r="G759">
        <v>0.94540000000000002</v>
      </c>
      <c r="H759">
        <v>7.0890000000000004</v>
      </c>
      <c r="I759">
        <v>6.7019406000000004</v>
      </c>
      <c r="K759" t="str">
        <f>INDEX([1]Sheet1!$A$1:$G$108, MATCH(B759,[1]Sheet1!$B:$B,0), 1)</f>
        <v>"o,p'-DDT"</v>
      </c>
      <c r="L759" t="str">
        <f>INDEX([1]Sheet1!$A$1:$G$108, MATCH(B759,[1]Sheet1!$B:$B,0), 3)</f>
        <v>weak</v>
      </c>
      <c r="M759" t="s">
        <v>109</v>
      </c>
    </row>
    <row r="760" spans="1:13" x14ac:dyDescent="0.3">
      <c r="A760" t="s">
        <v>89</v>
      </c>
      <c r="B760" t="str">
        <f>_xlfn.TEXTBEFORE(_xlfn.TEXTAFTER(A760,"cas-"),"_")</f>
        <v>789-02-6</v>
      </c>
      <c r="C760" t="s">
        <v>18</v>
      </c>
      <c r="D760" t="s">
        <v>11</v>
      </c>
      <c r="E760" t="s">
        <v>12</v>
      </c>
      <c r="F760">
        <v>-8.14</v>
      </c>
      <c r="G760">
        <v>0.94330000000000003</v>
      </c>
      <c r="H760">
        <v>7.4580000000000002</v>
      </c>
      <c r="I760">
        <v>7.0351314</v>
      </c>
      <c r="K760" t="str">
        <f>INDEX([1]Sheet1!$A$1:$G$108, MATCH(B760,[1]Sheet1!$B:$B,0), 1)</f>
        <v>"o,p'-DDT"</v>
      </c>
      <c r="L760" t="str">
        <f>INDEX([1]Sheet1!$A$1:$G$108, MATCH(B760,[1]Sheet1!$B:$B,0), 3)</f>
        <v>weak</v>
      </c>
      <c r="M760" t="s">
        <v>109</v>
      </c>
    </row>
    <row r="761" spans="1:13" x14ac:dyDescent="0.3">
      <c r="A761" t="s">
        <v>89</v>
      </c>
      <c r="B761" t="str">
        <f>_xlfn.TEXTBEFORE(_xlfn.TEXTAFTER(A761,"cas-"),"_")</f>
        <v>789-02-6</v>
      </c>
      <c r="C761" t="s">
        <v>15</v>
      </c>
      <c r="D761" t="s">
        <v>16</v>
      </c>
      <c r="E761" t="s">
        <v>12</v>
      </c>
      <c r="F761">
        <v>-7.66</v>
      </c>
      <c r="G761">
        <v>0.95209999999999995</v>
      </c>
      <c r="H761">
        <v>7.1619999999999999</v>
      </c>
      <c r="I761">
        <v>6.8189401999999992</v>
      </c>
      <c r="K761" t="str">
        <f>INDEX([1]Sheet1!$A$1:$G$108, MATCH(B761,[1]Sheet1!$B:$B,0), 1)</f>
        <v>"o,p'-DDT"</v>
      </c>
      <c r="L761" t="str">
        <f>INDEX([1]Sheet1!$A$1:$G$108, MATCH(B761,[1]Sheet1!$B:$B,0), 3)</f>
        <v>weak</v>
      </c>
      <c r="M761" t="s">
        <v>109</v>
      </c>
    </row>
    <row r="762" spans="1:13" x14ac:dyDescent="0.3">
      <c r="A762" t="s">
        <v>89</v>
      </c>
      <c r="B762" t="str">
        <f>_xlfn.TEXTBEFORE(_xlfn.TEXTAFTER(A762,"cas-"),"_")</f>
        <v>789-02-6</v>
      </c>
      <c r="C762" t="s">
        <v>10</v>
      </c>
      <c r="D762" t="s">
        <v>11</v>
      </c>
      <c r="E762" t="s">
        <v>12</v>
      </c>
      <c r="F762">
        <v>-7.66</v>
      </c>
      <c r="G762">
        <v>0.90029999999999999</v>
      </c>
      <c r="H762">
        <v>7.2759999999999998</v>
      </c>
      <c r="I762">
        <v>6.5505827999999999</v>
      </c>
      <c r="K762" t="str">
        <f>INDEX([1]Sheet1!$A$1:$G$108, MATCH(B762,[1]Sheet1!$B:$B,0), 1)</f>
        <v>"o,p'-DDT"</v>
      </c>
      <c r="L762" t="str">
        <f>INDEX([1]Sheet1!$A$1:$G$108, MATCH(B762,[1]Sheet1!$B:$B,0), 3)</f>
        <v>weak</v>
      </c>
      <c r="M762" t="s">
        <v>109</v>
      </c>
    </row>
    <row r="763" spans="1:13" x14ac:dyDescent="0.3">
      <c r="A763" t="s">
        <v>89</v>
      </c>
      <c r="B763" t="str">
        <f>_xlfn.TEXTBEFORE(_xlfn.TEXTAFTER(A763,"cas-"),"_")</f>
        <v>789-02-6</v>
      </c>
      <c r="C763" t="s">
        <v>30</v>
      </c>
      <c r="D763" t="s">
        <v>31</v>
      </c>
      <c r="E763" t="s">
        <v>12</v>
      </c>
      <c r="F763">
        <v>-7.77</v>
      </c>
      <c r="G763">
        <v>0.96009999999999995</v>
      </c>
      <c r="H763">
        <v>7.1189999999999998</v>
      </c>
      <c r="I763">
        <v>6.8349518999999992</v>
      </c>
      <c r="K763" t="str">
        <f>INDEX([1]Sheet1!$A$1:$G$108, MATCH(B763,[1]Sheet1!$B:$B,0), 1)</f>
        <v>"o,p'-DDT"</v>
      </c>
      <c r="L763" t="str">
        <f>INDEX([1]Sheet1!$A$1:$G$108, MATCH(B763,[1]Sheet1!$B:$B,0), 3)</f>
        <v>weak</v>
      </c>
      <c r="M763" t="s">
        <v>109</v>
      </c>
    </row>
    <row r="764" spans="1:13" x14ac:dyDescent="0.3">
      <c r="A764" t="s">
        <v>89</v>
      </c>
      <c r="B764" t="str">
        <f>_xlfn.TEXTBEFORE(_xlfn.TEXTAFTER(A764,"cas-"),"_")</f>
        <v>789-02-6</v>
      </c>
      <c r="C764" t="s">
        <v>17</v>
      </c>
      <c r="D764" t="s">
        <v>11</v>
      </c>
      <c r="E764" t="s">
        <v>12</v>
      </c>
      <c r="F764">
        <v>-7.4</v>
      </c>
      <c r="G764">
        <v>0.90280000000000005</v>
      </c>
      <c r="H764">
        <v>7.343</v>
      </c>
      <c r="I764">
        <v>6.6292604000000006</v>
      </c>
      <c r="K764" t="str">
        <f>INDEX([1]Sheet1!$A$1:$G$108, MATCH(B764,[1]Sheet1!$B:$B,0), 1)</f>
        <v>"o,p'-DDT"</v>
      </c>
      <c r="L764" t="str">
        <f>INDEX([1]Sheet1!$A$1:$G$108, MATCH(B764,[1]Sheet1!$B:$B,0), 3)</f>
        <v>weak</v>
      </c>
      <c r="M764" t="s">
        <v>109</v>
      </c>
    </row>
    <row r="765" spans="1:13" x14ac:dyDescent="0.3">
      <c r="A765" t="s">
        <v>89</v>
      </c>
      <c r="B765" t="str">
        <f>_xlfn.TEXTBEFORE(_xlfn.TEXTAFTER(A765,"cas-"),"_")</f>
        <v>789-02-6</v>
      </c>
      <c r="C765" t="s">
        <v>27</v>
      </c>
      <c r="D765" t="s">
        <v>11</v>
      </c>
      <c r="E765" t="s">
        <v>12</v>
      </c>
      <c r="F765">
        <v>-8.2200000000000006</v>
      </c>
      <c r="G765">
        <v>0.877</v>
      </c>
      <c r="H765">
        <v>7.46</v>
      </c>
      <c r="I765">
        <v>6.5424199999999999</v>
      </c>
      <c r="K765" t="str">
        <f>INDEX([1]Sheet1!$A$1:$G$108, MATCH(B765,[1]Sheet1!$B:$B,0), 1)</f>
        <v>"o,p'-DDT"</v>
      </c>
      <c r="L765" t="str">
        <f>INDEX([1]Sheet1!$A$1:$G$108, MATCH(B765,[1]Sheet1!$B:$B,0), 3)</f>
        <v>weak</v>
      </c>
      <c r="M765" t="s">
        <v>109</v>
      </c>
    </row>
    <row r="766" spans="1:13" x14ac:dyDescent="0.3">
      <c r="A766" t="s">
        <v>89</v>
      </c>
      <c r="B766" t="str">
        <f>_xlfn.TEXTBEFORE(_xlfn.TEXTAFTER(A766,"cas-"),"_")</f>
        <v>789-02-6</v>
      </c>
      <c r="C766" t="s">
        <v>21</v>
      </c>
      <c r="D766" t="s">
        <v>11</v>
      </c>
      <c r="E766" t="s">
        <v>12</v>
      </c>
      <c r="F766">
        <v>-8.3699999999999992</v>
      </c>
      <c r="G766">
        <v>0.95830000000000004</v>
      </c>
      <c r="H766">
        <v>7.4850000000000003</v>
      </c>
      <c r="I766">
        <v>7.1728755000000008</v>
      </c>
      <c r="K766" t="str">
        <f>INDEX([1]Sheet1!$A$1:$G$108, MATCH(B766,[1]Sheet1!$B:$B,0), 1)</f>
        <v>"o,p'-DDT"</v>
      </c>
      <c r="L766" t="str">
        <f>INDEX([1]Sheet1!$A$1:$G$108, MATCH(B766,[1]Sheet1!$B:$B,0), 3)</f>
        <v>weak</v>
      </c>
      <c r="M766" t="s">
        <v>109</v>
      </c>
    </row>
    <row r="767" spans="1:13" x14ac:dyDescent="0.3">
      <c r="A767" t="s">
        <v>89</v>
      </c>
      <c r="B767" t="str">
        <f>_xlfn.TEXTBEFORE(_xlfn.TEXTAFTER(A767,"cas-"),"_")</f>
        <v>789-02-6</v>
      </c>
      <c r="C767" t="s">
        <v>22</v>
      </c>
      <c r="D767" t="s">
        <v>23</v>
      </c>
      <c r="E767" t="s">
        <v>12</v>
      </c>
      <c r="F767">
        <v>-8.36</v>
      </c>
      <c r="G767">
        <v>0.97770000000000001</v>
      </c>
      <c r="H767">
        <v>7.7370000000000001</v>
      </c>
      <c r="I767">
        <v>7.5644648999999999</v>
      </c>
      <c r="K767" t="str">
        <f>INDEX([1]Sheet1!$A$1:$G$108, MATCH(B767,[1]Sheet1!$B:$B,0), 1)</f>
        <v>"o,p'-DDT"</v>
      </c>
      <c r="L767" t="str">
        <f>INDEX([1]Sheet1!$A$1:$G$108, MATCH(B767,[1]Sheet1!$B:$B,0), 3)</f>
        <v>weak</v>
      </c>
      <c r="M767" t="s">
        <v>109</v>
      </c>
    </row>
    <row r="768" spans="1:13" x14ac:dyDescent="0.3">
      <c r="A768" t="s">
        <v>89</v>
      </c>
      <c r="B768" t="str">
        <f>_xlfn.TEXTBEFORE(_xlfn.TEXTAFTER(A768,"cas-"),"_")</f>
        <v>789-02-6</v>
      </c>
      <c r="C768" t="s">
        <v>28</v>
      </c>
      <c r="D768" t="s">
        <v>29</v>
      </c>
      <c r="E768" t="s">
        <v>12</v>
      </c>
      <c r="F768">
        <v>-8.01</v>
      </c>
      <c r="G768">
        <v>0.9496</v>
      </c>
      <c r="H768">
        <v>6.9950000000000001</v>
      </c>
      <c r="I768">
        <v>6.6424519999999996</v>
      </c>
      <c r="K768" t="str">
        <f>INDEX([1]Sheet1!$A$1:$G$108, MATCH(B768,[1]Sheet1!$B:$B,0), 1)</f>
        <v>"o,p'-DDT"</v>
      </c>
      <c r="L768" t="str">
        <f>INDEX([1]Sheet1!$A$1:$G$108, MATCH(B768,[1]Sheet1!$B:$B,0), 3)</f>
        <v>weak</v>
      </c>
      <c r="M768" t="s">
        <v>109</v>
      </c>
    </row>
    <row r="769" spans="1:13" x14ac:dyDescent="0.3">
      <c r="A769" t="s">
        <v>90</v>
      </c>
      <c r="B769" t="str">
        <f>_xlfn.TEXTBEFORE(_xlfn.TEXTAFTER(A769,"cas-"),"_")</f>
        <v>80-05-7</v>
      </c>
      <c r="C769" t="s">
        <v>24</v>
      </c>
      <c r="D769" t="s">
        <v>25</v>
      </c>
      <c r="E769" t="s">
        <v>12</v>
      </c>
      <c r="F769">
        <v>-8.52</v>
      </c>
      <c r="G769">
        <v>0.76229999999999998</v>
      </c>
      <c r="H769">
        <v>7.1790000000000003</v>
      </c>
      <c r="I769">
        <v>5.4725517000000004</v>
      </c>
      <c r="K769" t="str">
        <f>INDEX([1]Sheet1!$A$1:$G$108, MATCH(B769,[1]Sheet1!$B:$B,0), 1)</f>
        <v>Bisphenol A</v>
      </c>
      <c r="L769" t="str">
        <f>INDEX([1]Sheet1!$A$1:$G$108, MATCH(B769,[1]Sheet1!$B:$B,0), 3)</f>
        <v>weak</v>
      </c>
      <c r="M769" t="s">
        <v>109</v>
      </c>
    </row>
    <row r="770" spans="1:13" x14ac:dyDescent="0.3">
      <c r="A770" t="s">
        <v>90</v>
      </c>
      <c r="B770" t="str">
        <f>_xlfn.TEXTBEFORE(_xlfn.TEXTAFTER(A770,"cas-"),"_")</f>
        <v>80-05-7</v>
      </c>
      <c r="C770" t="s">
        <v>22</v>
      </c>
      <c r="D770" t="s">
        <v>23</v>
      </c>
      <c r="E770" t="s">
        <v>12</v>
      </c>
      <c r="F770">
        <v>-7.77</v>
      </c>
      <c r="G770">
        <v>0.80779999999999996</v>
      </c>
      <c r="H770">
        <v>6.5289999999999999</v>
      </c>
      <c r="I770">
        <v>5.2741262000000004</v>
      </c>
      <c r="K770" t="str">
        <f>INDEX([1]Sheet1!$A$1:$G$108, MATCH(B770,[1]Sheet1!$B:$B,0), 1)</f>
        <v>Bisphenol A</v>
      </c>
      <c r="L770" t="str">
        <f>INDEX([1]Sheet1!$A$1:$G$108, MATCH(B770,[1]Sheet1!$B:$B,0), 3)</f>
        <v>weak</v>
      </c>
      <c r="M770" t="s">
        <v>109</v>
      </c>
    </row>
    <row r="771" spans="1:13" x14ac:dyDescent="0.3">
      <c r="A771" t="s">
        <v>90</v>
      </c>
      <c r="B771" t="str">
        <f>_xlfn.TEXTBEFORE(_xlfn.TEXTAFTER(A771,"cas-"),"_")</f>
        <v>80-05-7</v>
      </c>
      <c r="C771" t="s">
        <v>10</v>
      </c>
      <c r="D771" t="s">
        <v>11</v>
      </c>
      <c r="E771" t="s">
        <v>12</v>
      </c>
      <c r="F771">
        <v>-6.97</v>
      </c>
      <c r="G771">
        <v>0.79339999999999999</v>
      </c>
      <c r="H771">
        <v>7.2320000000000002</v>
      </c>
      <c r="I771">
        <v>5.7378688000000002</v>
      </c>
      <c r="K771" t="str">
        <f>INDEX([1]Sheet1!$A$1:$G$108, MATCH(B771,[1]Sheet1!$B:$B,0), 1)</f>
        <v>Bisphenol A</v>
      </c>
      <c r="L771" t="str">
        <f>INDEX([1]Sheet1!$A$1:$G$108, MATCH(B771,[1]Sheet1!$B:$B,0), 3)</f>
        <v>weak</v>
      </c>
      <c r="M771" t="s">
        <v>109</v>
      </c>
    </row>
    <row r="772" spans="1:13" x14ac:dyDescent="0.3">
      <c r="A772" t="s">
        <v>90</v>
      </c>
      <c r="B772" t="str">
        <f>_xlfn.TEXTBEFORE(_xlfn.TEXTAFTER(A772,"cas-"),"_")</f>
        <v>80-05-7</v>
      </c>
      <c r="C772" t="s">
        <v>30</v>
      </c>
      <c r="D772" t="s">
        <v>31</v>
      </c>
      <c r="E772" t="s">
        <v>12</v>
      </c>
      <c r="F772">
        <v>-8</v>
      </c>
      <c r="G772">
        <v>0.91510000000000002</v>
      </c>
      <c r="H772">
        <v>6.9909999999999997</v>
      </c>
      <c r="I772">
        <v>6.3974640999999997</v>
      </c>
      <c r="K772" t="str">
        <f>INDEX([1]Sheet1!$A$1:$G$108, MATCH(B772,[1]Sheet1!$B:$B,0), 1)</f>
        <v>Bisphenol A</v>
      </c>
      <c r="L772" t="str">
        <f>INDEX([1]Sheet1!$A$1:$G$108, MATCH(B772,[1]Sheet1!$B:$B,0), 3)</f>
        <v>weak</v>
      </c>
      <c r="M772" t="s">
        <v>109</v>
      </c>
    </row>
    <row r="773" spans="1:13" x14ac:dyDescent="0.3">
      <c r="A773" t="s">
        <v>90</v>
      </c>
      <c r="B773" t="str">
        <f>_xlfn.TEXTBEFORE(_xlfn.TEXTAFTER(A773,"cas-"),"_")</f>
        <v>80-05-7</v>
      </c>
      <c r="C773" t="s">
        <v>13</v>
      </c>
      <c r="D773" t="s">
        <v>14</v>
      </c>
      <c r="E773" t="s">
        <v>12</v>
      </c>
      <c r="F773">
        <v>-8.5</v>
      </c>
      <c r="G773">
        <v>0.91669999999999996</v>
      </c>
      <c r="H773">
        <v>7.1559999999999997</v>
      </c>
      <c r="I773">
        <v>6.5599051999999993</v>
      </c>
      <c r="K773" t="str">
        <f>INDEX([1]Sheet1!$A$1:$G$108, MATCH(B773,[1]Sheet1!$B:$B,0), 1)</f>
        <v>Bisphenol A</v>
      </c>
      <c r="L773" t="str">
        <f>INDEX([1]Sheet1!$A$1:$G$108, MATCH(B773,[1]Sheet1!$B:$B,0), 3)</f>
        <v>weak</v>
      </c>
      <c r="M773" t="s">
        <v>109</v>
      </c>
    </row>
    <row r="774" spans="1:13" x14ac:dyDescent="0.3">
      <c r="A774" t="s">
        <v>90</v>
      </c>
      <c r="B774" t="str">
        <f>_xlfn.TEXTBEFORE(_xlfn.TEXTAFTER(A774,"cas-"),"_")</f>
        <v>80-05-7</v>
      </c>
      <c r="C774" t="s">
        <v>21</v>
      </c>
      <c r="D774" t="s">
        <v>11</v>
      </c>
      <c r="E774" t="s">
        <v>12</v>
      </c>
      <c r="F774">
        <v>-8.75</v>
      </c>
      <c r="G774">
        <v>0.89900000000000002</v>
      </c>
      <c r="H774">
        <v>6.9370000000000003</v>
      </c>
      <c r="I774">
        <v>6.2363630000000008</v>
      </c>
      <c r="K774" t="str">
        <f>INDEX([1]Sheet1!$A$1:$G$108, MATCH(B774,[1]Sheet1!$B:$B,0), 1)</f>
        <v>Bisphenol A</v>
      </c>
      <c r="L774" t="str">
        <f>INDEX([1]Sheet1!$A$1:$G$108, MATCH(B774,[1]Sheet1!$B:$B,0), 3)</f>
        <v>weak</v>
      </c>
      <c r="M774" t="s">
        <v>109</v>
      </c>
    </row>
    <row r="775" spans="1:13" x14ac:dyDescent="0.3">
      <c r="A775" t="s">
        <v>90</v>
      </c>
      <c r="B775" t="str">
        <f>_xlfn.TEXTBEFORE(_xlfn.TEXTAFTER(A775,"cas-"),"_")</f>
        <v>80-05-7</v>
      </c>
      <c r="C775" t="s">
        <v>28</v>
      </c>
      <c r="D775" t="s">
        <v>29</v>
      </c>
      <c r="E775" t="s">
        <v>12</v>
      </c>
      <c r="F775">
        <v>-8.0500000000000007</v>
      </c>
      <c r="G775">
        <v>0.89190000000000003</v>
      </c>
      <c r="H775">
        <v>7.306</v>
      </c>
      <c r="I775">
        <v>6.5162214000000001</v>
      </c>
      <c r="K775" t="str">
        <f>INDEX([1]Sheet1!$A$1:$G$108, MATCH(B775,[1]Sheet1!$B:$B,0), 1)</f>
        <v>Bisphenol A</v>
      </c>
      <c r="L775" t="str">
        <f>INDEX([1]Sheet1!$A$1:$G$108, MATCH(B775,[1]Sheet1!$B:$B,0), 3)</f>
        <v>weak</v>
      </c>
      <c r="M775" t="s">
        <v>109</v>
      </c>
    </row>
    <row r="776" spans="1:13" x14ac:dyDescent="0.3">
      <c r="A776" t="s">
        <v>90</v>
      </c>
      <c r="B776" t="str">
        <f>_xlfn.TEXTBEFORE(_xlfn.TEXTAFTER(A776,"cas-"),"_")</f>
        <v>80-05-7</v>
      </c>
      <c r="C776" t="s">
        <v>15</v>
      </c>
      <c r="D776" t="s">
        <v>16</v>
      </c>
      <c r="E776" t="s">
        <v>12</v>
      </c>
      <c r="F776">
        <v>-8.3000000000000007</v>
      </c>
      <c r="G776">
        <v>0.7419</v>
      </c>
      <c r="H776">
        <v>6.5190000000000001</v>
      </c>
      <c r="I776">
        <v>4.8364460999999999</v>
      </c>
      <c r="K776" t="str">
        <f>INDEX([1]Sheet1!$A$1:$G$108, MATCH(B776,[1]Sheet1!$B:$B,0), 1)</f>
        <v>Bisphenol A</v>
      </c>
      <c r="L776" t="str">
        <f>INDEX([1]Sheet1!$A$1:$G$108, MATCH(B776,[1]Sheet1!$B:$B,0), 3)</f>
        <v>weak</v>
      </c>
      <c r="M776" t="s">
        <v>109</v>
      </c>
    </row>
    <row r="777" spans="1:13" x14ac:dyDescent="0.3">
      <c r="A777" t="s">
        <v>90</v>
      </c>
      <c r="B777" t="str">
        <f>_xlfn.TEXTBEFORE(_xlfn.TEXTAFTER(A777,"cas-"),"_")</f>
        <v>80-05-7</v>
      </c>
      <c r="C777" t="s">
        <v>26</v>
      </c>
      <c r="D777" t="s">
        <v>14</v>
      </c>
      <c r="E777" t="s">
        <v>12</v>
      </c>
      <c r="F777">
        <v>-8.0299999999999994</v>
      </c>
      <c r="G777">
        <v>0.87160000000000004</v>
      </c>
      <c r="H777">
        <v>6.9370000000000003</v>
      </c>
      <c r="I777">
        <v>6.0462892000000004</v>
      </c>
      <c r="K777" t="str">
        <f>INDEX([1]Sheet1!$A$1:$G$108, MATCH(B777,[1]Sheet1!$B:$B,0), 1)</f>
        <v>Bisphenol A</v>
      </c>
      <c r="L777" t="str">
        <f>INDEX([1]Sheet1!$A$1:$G$108, MATCH(B777,[1]Sheet1!$B:$B,0), 3)</f>
        <v>weak</v>
      </c>
      <c r="M777" t="s">
        <v>109</v>
      </c>
    </row>
    <row r="778" spans="1:13" x14ac:dyDescent="0.3">
      <c r="A778" t="s">
        <v>90</v>
      </c>
      <c r="B778" t="str">
        <f>_xlfn.TEXTBEFORE(_xlfn.TEXTAFTER(A778,"cas-"),"_")</f>
        <v>80-05-7</v>
      </c>
      <c r="C778" t="s">
        <v>18</v>
      </c>
      <c r="D778" t="s">
        <v>11</v>
      </c>
      <c r="E778" t="s">
        <v>12</v>
      </c>
      <c r="F778">
        <v>-7.07</v>
      </c>
      <c r="G778">
        <v>0.82350000000000001</v>
      </c>
      <c r="H778">
        <v>7.1920000000000002</v>
      </c>
      <c r="I778">
        <v>5.922612</v>
      </c>
      <c r="K778" t="str">
        <f>INDEX([1]Sheet1!$A$1:$G$108, MATCH(B778,[1]Sheet1!$B:$B,0), 1)</f>
        <v>Bisphenol A</v>
      </c>
      <c r="L778" t="str">
        <f>INDEX([1]Sheet1!$A$1:$G$108, MATCH(B778,[1]Sheet1!$B:$B,0), 3)</f>
        <v>weak</v>
      </c>
      <c r="M778" t="s">
        <v>109</v>
      </c>
    </row>
    <row r="779" spans="1:13" x14ac:dyDescent="0.3">
      <c r="A779" t="s">
        <v>90</v>
      </c>
      <c r="B779" t="str">
        <f>_xlfn.TEXTBEFORE(_xlfn.TEXTAFTER(A779,"cas-"),"_")</f>
        <v>80-05-7</v>
      </c>
      <c r="C779" t="s">
        <v>27</v>
      </c>
      <c r="D779" t="s">
        <v>11</v>
      </c>
      <c r="E779" t="s">
        <v>12</v>
      </c>
      <c r="F779">
        <v>-8.5</v>
      </c>
      <c r="G779">
        <v>0.77239999999999998</v>
      </c>
      <c r="H779">
        <v>7.2089999999999996</v>
      </c>
      <c r="I779">
        <v>5.5682315999999998</v>
      </c>
      <c r="K779" t="str">
        <f>INDEX([1]Sheet1!$A$1:$G$108, MATCH(B779,[1]Sheet1!$B:$B,0), 1)</f>
        <v>Bisphenol A</v>
      </c>
      <c r="L779" t="str">
        <f>INDEX([1]Sheet1!$A$1:$G$108, MATCH(B779,[1]Sheet1!$B:$B,0), 3)</f>
        <v>weak</v>
      </c>
      <c r="M779" t="s">
        <v>109</v>
      </c>
    </row>
    <row r="780" spans="1:13" x14ac:dyDescent="0.3">
      <c r="A780" t="s">
        <v>90</v>
      </c>
      <c r="B780" t="str">
        <f>_xlfn.TEXTBEFORE(_xlfn.TEXTAFTER(A780,"cas-"),"_")</f>
        <v>80-05-7</v>
      </c>
      <c r="C780" t="s">
        <v>19</v>
      </c>
      <c r="D780" t="s">
        <v>20</v>
      </c>
      <c r="E780" t="s">
        <v>12</v>
      </c>
      <c r="F780">
        <v>-8.43</v>
      </c>
      <c r="G780">
        <v>0.79759999999999998</v>
      </c>
      <c r="H780">
        <v>6.8620000000000001</v>
      </c>
      <c r="I780">
        <v>5.4731312000000001</v>
      </c>
      <c r="K780" t="str">
        <f>INDEX([1]Sheet1!$A$1:$G$108, MATCH(B780,[1]Sheet1!$B:$B,0), 1)</f>
        <v>Bisphenol A</v>
      </c>
      <c r="L780" t="str">
        <f>INDEX([1]Sheet1!$A$1:$G$108, MATCH(B780,[1]Sheet1!$B:$B,0), 3)</f>
        <v>weak</v>
      </c>
      <c r="M780" t="s">
        <v>109</v>
      </c>
    </row>
    <row r="781" spans="1:13" x14ac:dyDescent="0.3">
      <c r="A781" t="s">
        <v>90</v>
      </c>
      <c r="B781" t="str">
        <f>_xlfn.TEXTBEFORE(_xlfn.TEXTAFTER(A781,"cas-"),"_")</f>
        <v>80-05-7</v>
      </c>
      <c r="C781" t="s">
        <v>17</v>
      </c>
      <c r="D781" t="s">
        <v>11</v>
      </c>
      <c r="E781" t="s">
        <v>12</v>
      </c>
      <c r="F781">
        <v>-8.74</v>
      </c>
      <c r="G781">
        <v>0.87960000000000005</v>
      </c>
      <c r="H781">
        <v>7.12</v>
      </c>
      <c r="I781">
        <v>6.2627520000000008</v>
      </c>
      <c r="K781" t="str">
        <f>INDEX([1]Sheet1!$A$1:$G$108, MATCH(B781,[1]Sheet1!$B:$B,0), 1)</f>
        <v>Bisphenol A</v>
      </c>
      <c r="L781" t="str">
        <f>INDEX([1]Sheet1!$A$1:$G$108, MATCH(B781,[1]Sheet1!$B:$B,0), 3)</f>
        <v>weak</v>
      </c>
      <c r="M781" t="s">
        <v>109</v>
      </c>
    </row>
    <row r="782" spans="1:13" x14ac:dyDescent="0.3">
      <c r="A782" t="s">
        <v>91</v>
      </c>
      <c r="B782" t="str">
        <f>_xlfn.TEXTBEFORE(_xlfn.TEXTAFTER(A782,"cas-"),"_")</f>
        <v>80-09-1</v>
      </c>
      <c r="C782" t="s">
        <v>18</v>
      </c>
      <c r="D782" t="s">
        <v>11</v>
      </c>
      <c r="E782" t="s">
        <v>12</v>
      </c>
      <c r="F782">
        <v>-7.81</v>
      </c>
      <c r="G782">
        <v>0.8</v>
      </c>
      <c r="H782">
        <v>6.4619999999999997</v>
      </c>
      <c r="I782">
        <v>5.1696</v>
      </c>
      <c r="K782" t="str">
        <f>INDEX([1]Sheet1!$A$1:$G$108, MATCH(B782,[1]Sheet1!$B:$B,0), 1)</f>
        <v>"4,4'-Sulfonyldiphenol"</v>
      </c>
      <c r="L782" t="str">
        <f>INDEX([1]Sheet1!$A$1:$G$108, MATCH(B782,[1]Sheet1!$B:$B,0), 3)</f>
        <v>weak</v>
      </c>
      <c r="M782" t="s">
        <v>109</v>
      </c>
    </row>
    <row r="783" spans="1:13" x14ac:dyDescent="0.3">
      <c r="A783" t="s">
        <v>91</v>
      </c>
      <c r="B783" t="str">
        <f>_xlfn.TEXTBEFORE(_xlfn.TEXTAFTER(A783,"cas-"),"_")</f>
        <v>80-09-1</v>
      </c>
      <c r="C783" t="s">
        <v>24</v>
      </c>
      <c r="D783" t="s">
        <v>25</v>
      </c>
      <c r="E783" t="s">
        <v>12</v>
      </c>
      <c r="F783">
        <v>-8.02</v>
      </c>
      <c r="G783">
        <v>0.65080000000000005</v>
      </c>
      <c r="H783">
        <v>6.5919999999999996</v>
      </c>
      <c r="I783">
        <v>4.2900736000000004</v>
      </c>
      <c r="K783" t="str">
        <f>INDEX([1]Sheet1!$A$1:$G$108, MATCH(B783,[1]Sheet1!$B:$B,0), 1)</f>
        <v>"4,4'-Sulfonyldiphenol"</v>
      </c>
      <c r="L783" t="str">
        <f>INDEX([1]Sheet1!$A$1:$G$108, MATCH(B783,[1]Sheet1!$B:$B,0), 3)</f>
        <v>weak</v>
      </c>
      <c r="M783" t="s">
        <v>109</v>
      </c>
    </row>
    <row r="784" spans="1:13" x14ac:dyDescent="0.3">
      <c r="A784" t="s">
        <v>91</v>
      </c>
      <c r="B784" t="str">
        <f>_xlfn.TEXTBEFORE(_xlfn.TEXTAFTER(A784,"cas-"),"_")</f>
        <v>80-09-1</v>
      </c>
      <c r="C784" t="s">
        <v>21</v>
      </c>
      <c r="D784" t="s">
        <v>11</v>
      </c>
      <c r="E784" t="s">
        <v>12</v>
      </c>
      <c r="F784">
        <v>-8.26</v>
      </c>
      <c r="G784">
        <v>0.89459999999999995</v>
      </c>
      <c r="H784">
        <v>6.7839999999999998</v>
      </c>
      <c r="I784">
        <v>6.0689663999999999</v>
      </c>
      <c r="K784" t="str">
        <f>INDEX([1]Sheet1!$A$1:$G$108, MATCH(B784,[1]Sheet1!$B:$B,0), 1)</f>
        <v>"4,4'-Sulfonyldiphenol"</v>
      </c>
      <c r="L784" t="str">
        <f>INDEX([1]Sheet1!$A$1:$G$108, MATCH(B784,[1]Sheet1!$B:$B,0), 3)</f>
        <v>weak</v>
      </c>
      <c r="M784" t="s">
        <v>109</v>
      </c>
    </row>
    <row r="785" spans="1:13" x14ac:dyDescent="0.3">
      <c r="A785" t="s">
        <v>91</v>
      </c>
      <c r="B785" t="str">
        <f>_xlfn.TEXTBEFORE(_xlfn.TEXTAFTER(A785,"cas-"),"_")</f>
        <v>80-09-1</v>
      </c>
      <c r="C785" t="s">
        <v>26</v>
      </c>
      <c r="D785" t="s">
        <v>14</v>
      </c>
      <c r="E785" t="s">
        <v>12</v>
      </c>
      <c r="F785">
        <v>-7.33</v>
      </c>
      <c r="G785">
        <v>0.81330000000000002</v>
      </c>
      <c r="H785">
        <v>6.617</v>
      </c>
      <c r="I785">
        <v>5.3816060999999999</v>
      </c>
      <c r="K785" t="str">
        <f>INDEX([1]Sheet1!$A$1:$G$108, MATCH(B785,[1]Sheet1!$B:$B,0), 1)</f>
        <v>"4,4'-Sulfonyldiphenol"</v>
      </c>
      <c r="L785" t="str">
        <f>INDEX([1]Sheet1!$A$1:$G$108, MATCH(B785,[1]Sheet1!$B:$B,0), 3)</f>
        <v>weak</v>
      </c>
      <c r="M785" t="s">
        <v>109</v>
      </c>
    </row>
    <row r="786" spans="1:13" x14ac:dyDescent="0.3">
      <c r="A786" t="s">
        <v>91</v>
      </c>
      <c r="B786" t="str">
        <f>_xlfn.TEXTBEFORE(_xlfn.TEXTAFTER(A786,"cas-"),"_")</f>
        <v>80-09-1</v>
      </c>
      <c r="C786" t="s">
        <v>27</v>
      </c>
      <c r="D786" t="s">
        <v>11</v>
      </c>
      <c r="E786" t="s">
        <v>12</v>
      </c>
      <c r="F786">
        <v>-8.08</v>
      </c>
      <c r="G786">
        <v>0.62150000000000005</v>
      </c>
      <c r="H786">
        <v>6.431</v>
      </c>
      <c r="I786">
        <v>3.9968664999999999</v>
      </c>
      <c r="K786" t="str">
        <f>INDEX([1]Sheet1!$A$1:$G$108, MATCH(B786,[1]Sheet1!$B:$B,0), 1)</f>
        <v>"4,4'-Sulfonyldiphenol"</v>
      </c>
      <c r="L786" t="str">
        <f>INDEX([1]Sheet1!$A$1:$G$108, MATCH(B786,[1]Sheet1!$B:$B,0), 3)</f>
        <v>weak</v>
      </c>
      <c r="M786" t="s">
        <v>109</v>
      </c>
    </row>
    <row r="787" spans="1:13" x14ac:dyDescent="0.3">
      <c r="A787" t="s">
        <v>91</v>
      </c>
      <c r="B787" t="str">
        <f>_xlfn.TEXTBEFORE(_xlfn.TEXTAFTER(A787,"cas-"),"_")</f>
        <v>80-09-1</v>
      </c>
      <c r="C787" t="s">
        <v>22</v>
      </c>
      <c r="D787" t="s">
        <v>23</v>
      </c>
      <c r="E787" t="s">
        <v>12</v>
      </c>
      <c r="F787">
        <v>-7.18</v>
      </c>
      <c r="G787">
        <v>0.76739999999999997</v>
      </c>
      <c r="H787">
        <v>5.8659999999999997</v>
      </c>
      <c r="I787">
        <v>4.5015683999999991</v>
      </c>
      <c r="K787" t="str">
        <f>INDEX([1]Sheet1!$A$1:$G$108, MATCH(B787,[1]Sheet1!$B:$B,0), 1)</f>
        <v>"4,4'-Sulfonyldiphenol"</v>
      </c>
      <c r="L787" t="str">
        <f>INDEX([1]Sheet1!$A$1:$G$108, MATCH(B787,[1]Sheet1!$B:$B,0), 3)</f>
        <v>weak</v>
      </c>
      <c r="M787" t="s">
        <v>109</v>
      </c>
    </row>
    <row r="788" spans="1:13" x14ac:dyDescent="0.3">
      <c r="A788" t="s">
        <v>91</v>
      </c>
      <c r="B788" t="str">
        <f>_xlfn.TEXTBEFORE(_xlfn.TEXTAFTER(A788,"cas-"),"_")</f>
        <v>80-09-1</v>
      </c>
      <c r="C788" t="s">
        <v>10</v>
      </c>
      <c r="D788" t="s">
        <v>11</v>
      </c>
      <c r="E788" t="s">
        <v>12</v>
      </c>
      <c r="F788">
        <v>-6.38</v>
      </c>
      <c r="G788">
        <v>0.72899999999999998</v>
      </c>
      <c r="H788">
        <v>6.766</v>
      </c>
      <c r="I788">
        <v>4.9324139999999996</v>
      </c>
      <c r="K788" t="str">
        <f>INDEX([1]Sheet1!$A$1:$G$108, MATCH(B788,[1]Sheet1!$B:$B,0), 1)</f>
        <v>"4,4'-Sulfonyldiphenol"</v>
      </c>
      <c r="L788" t="str">
        <f>INDEX([1]Sheet1!$A$1:$G$108, MATCH(B788,[1]Sheet1!$B:$B,0), 3)</f>
        <v>weak</v>
      </c>
      <c r="M788" t="s">
        <v>109</v>
      </c>
    </row>
    <row r="789" spans="1:13" x14ac:dyDescent="0.3">
      <c r="A789" t="s">
        <v>91</v>
      </c>
      <c r="B789" t="str">
        <f>_xlfn.TEXTBEFORE(_xlfn.TEXTAFTER(A789,"cas-"),"_")</f>
        <v>80-09-1</v>
      </c>
      <c r="C789" t="s">
        <v>17</v>
      </c>
      <c r="D789" t="s">
        <v>11</v>
      </c>
      <c r="E789" t="s">
        <v>12</v>
      </c>
      <c r="F789">
        <v>-8.16</v>
      </c>
      <c r="G789">
        <v>0.81740000000000002</v>
      </c>
      <c r="H789">
        <v>6.625</v>
      </c>
      <c r="I789">
        <v>5.4152750000000003</v>
      </c>
      <c r="K789" t="str">
        <f>INDEX([1]Sheet1!$A$1:$G$108, MATCH(B789,[1]Sheet1!$B:$B,0), 1)</f>
        <v>"4,4'-Sulfonyldiphenol"</v>
      </c>
      <c r="L789" t="str">
        <f>INDEX([1]Sheet1!$A$1:$G$108, MATCH(B789,[1]Sheet1!$B:$B,0), 3)</f>
        <v>weak</v>
      </c>
      <c r="M789" t="s">
        <v>109</v>
      </c>
    </row>
    <row r="790" spans="1:13" x14ac:dyDescent="0.3">
      <c r="A790" t="s">
        <v>91</v>
      </c>
      <c r="B790" t="str">
        <f>_xlfn.TEXTBEFORE(_xlfn.TEXTAFTER(A790,"cas-"),"_")</f>
        <v>80-09-1</v>
      </c>
      <c r="C790" t="s">
        <v>15</v>
      </c>
      <c r="D790" t="s">
        <v>16</v>
      </c>
      <c r="E790" t="s">
        <v>12</v>
      </c>
      <c r="F790">
        <v>-7.58</v>
      </c>
      <c r="G790">
        <v>0.63929999999999998</v>
      </c>
      <c r="H790">
        <v>6.6369999999999996</v>
      </c>
      <c r="I790">
        <v>4.2430340999999991</v>
      </c>
      <c r="K790" t="str">
        <f>INDEX([1]Sheet1!$A$1:$G$108, MATCH(B790,[1]Sheet1!$B:$B,0), 1)</f>
        <v>"4,4'-Sulfonyldiphenol"</v>
      </c>
      <c r="L790" t="str">
        <f>INDEX([1]Sheet1!$A$1:$G$108, MATCH(B790,[1]Sheet1!$B:$B,0), 3)</f>
        <v>weak</v>
      </c>
      <c r="M790" t="s">
        <v>109</v>
      </c>
    </row>
    <row r="791" spans="1:13" x14ac:dyDescent="0.3">
      <c r="A791" t="s">
        <v>91</v>
      </c>
      <c r="B791" t="str">
        <f>_xlfn.TEXTBEFORE(_xlfn.TEXTAFTER(A791,"cas-"),"_")</f>
        <v>80-09-1</v>
      </c>
      <c r="C791" t="s">
        <v>13</v>
      </c>
      <c r="D791" t="s">
        <v>14</v>
      </c>
      <c r="E791" t="s">
        <v>12</v>
      </c>
      <c r="F791">
        <v>-7.8</v>
      </c>
      <c r="G791">
        <v>0.8649</v>
      </c>
      <c r="H791">
        <v>6.76</v>
      </c>
      <c r="I791">
        <v>5.846724</v>
      </c>
      <c r="K791" t="str">
        <f>INDEX([1]Sheet1!$A$1:$G$108, MATCH(B791,[1]Sheet1!$B:$B,0), 1)</f>
        <v>"4,4'-Sulfonyldiphenol"</v>
      </c>
      <c r="L791" t="str">
        <f>INDEX([1]Sheet1!$A$1:$G$108, MATCH(B791,[1]Sheet1!$B:$B,0), 3)</f>
        <v>weak</v>
      </c>
      <c r="M791" t="s">
        <v>109</v>
      </c>
    </row>
    <row r="792" spans="1:13" x14ac:dyDescent="0.3">
      <c r="A792" t="s">
        <v>91</v>
      </c>
      <c r="B792" t="str">
        <f>_xlfn.TEXTBEFORE(_xlfn.TEXTAFTER(A792,"cas-"),"_")</f>
        <v>80-09-1</v>
      </c>
      <c r="C792" t="s">
        <v>19</v>
      </c>
      <c r="D792" t="s">
        <v>20</v>
      </c>
      <c r="E792" t="s">
        <v>12</v>
      </c>
      <c r="F792">
        <v>-7.86</v>
      </c>
      <c r="G792">
        <v>0.7631</v>
      </c>
      <c r="H792">
        <v>6.7830000000000004</v>
      </c>
      <c r="I792">
        <v>5.1761073</v>
      </c>
      <c r="K792" t="str">
        <f>INDEX([1]Sheet1!$A$1:$G$108, MATCH(B792,[1]Sheet1!$B:$B,0), 1)</f>
        <v>"4,4'-Sulfonyldiphenol"</v>
      </c>
      <c r="L792" t="str">
        <f>INDEX([1]Sheet1!$A$1:$G$108, MATCH(B792,[1]Sheet1!$B:$B,0), 3)</f>
        <v>weak</v>
      </c>
      <c r="M792" t="s">
        <v>109</v>
      </c>
    </row>
    <row r="793" spans="1:13" x14ac:dyDescent="0.3">
      <c r="A793" t="s">
        <v>91</v>
      </c>
      <c r="B793" t="str">
        <f>_xlfn.TEXTBEFORE(_xlfn.TEXTAFTER(A793,"cas-"),"_")</f>
        <v>80-09-1</v>
      </c>
      <c r="C793" t="s">
        <v>30</v>
      </c>
      <c r="D793" t="s">
        <v>31</v>
      </c>
      <c r="E793" t="s">
        <v>12</v>
      </c>
      <c r="F793">
        <v>-7.37</v>
      </c>
      <c r="G793">
        <v>0.84489999999999998</v>
      </c>
      <c r="H793">
        <v>6.6239999999999997</v>
      </c>
      <c r="I793">
        <v>5.5966175999999992</v>
      </c>
      <c r="K793" t="str">
        <f>INDEX([1]Sheet1!$A$1:$G$108, MATCH(B793,[1]Sheet1!$B:$B,0), 1)</f>
        <v>"4,4'-Sulfonyldiphenol"</v>
      </c>
      <c r="L793" t="str">
        <f>INDEX([1]Sheet1!$A$1:$G$108, MATCH(B793,[1]Sheet1!$B:$B,0), 3)</f>
        <v>weak</v>
      </c>
      <c r="M793" t="s">
        <v>109</v>
      </c>
    </row>
    <row r="794" spans="1:13" x14ac:dyDescent="0.3">
      <c r="A794" t="s">
        <v>91</v>
      </c>
      <c r="B794" t="str">
        <f>_xlfn.TEXTBEFORE(_xlfn.TEXTAFTER(A794,"cas-"),"_")</f>
        <v>80-09-1</v>
      </c>
      <c r="C794" t="s">
        <v>28</v>
      </c>
      <c r="D794" t="s">
        <v>29</v>
      </c>
      <c r="E794" t="s">
        <v>12</v>
      </c>
      <c r="F794">
        <v>-7.9</v>
      </c>
      <c r="G794">
        <v>0.75149999999999995</v>
      </c>
      <c r="H794">
        <v>6.3239999999999998</v>
      </c>
      <c r="I794">
        <v>4.7524859999999993</v>
      </c>
      <c r="K794" t="str">
        <f>INDEX([1]Sheet1!$A$1:$G$108, MATCH(B794,[1]Sheet1!$B:$B,0), 1)</f>
        <v>"4,4'-Sulfonyldiphenol"</v>
      </c>
      <c r="L794" t="str">
        <f>INDEX([1]Sheet1!$A$1:$G$108, MATCH(B794,[1]Sheet1!$B:$B,0), 3)</f>
        <v>weak</v>
      </c>
      <c r="M794" t="s">
        <v>109</v>
      </c>
    </row>
    <row r="795" spans="1:13" x14ac:dyDescent="0.3">
      <c r="A795" t="s">
        <v>92</v>
      </c>
      <c r="B795" t="str">
        <f>_xlfn.TEXTBEFORE(_xlfn.TEXTAFTER(A795,"cas-"),"_")</f>
        <v>80-46-6</v>
      </c>
      <c r="C795" t="s">
        <v>28</v>
      </c>
      <c r="D795" t="s">
        <v>29</v>
      </c>
      <c r="E795" t="s">
        <v>12</v>
      </c>
      <c r="F795">
        <v>-6.55</v>
      </c>
      <c r="G795">
        <v>0.90920000000000001</v>
      </c>
      <c r="H795">
        <v>6.3739999999999997</v>
      </c>
      <c r="I795">
        <v>5.7952408000000002</v>
      </c>
      <c r="K795" t="str">
        <f>INDEX([1]Sheet1!$A$1:$G$108, MATCH(B795,[1]Sheet1!$B:$B,0), 1)</f>
        <v>4-tert-Amylphenol</v>
      </c>
      <c r="L795" t="str">
        <f>INDEX([1]Sheet1!$A$1:$G$108, MATCH(B795,[1]Sheet1!$B:$B,0), 3)</f>
        <v>weak</v>
      </c>
      <c r="M795" t="s">
        <v>109</v>
      </c>
    </row>
    <row r="796" spans="1:13" x14ac:dyDescent="0.3">
      <c r="A796" t="s">
        <v>92</v>
      </c>
      <c r="B796" t="str">
        <f>_xlfn.TEXTBEFORE(_xlfn.TEXTAFTER(A796,"cas-"),"_")</f>
        <v>80-46-6</v>
      </c>
      <c r="C796" t="s">
        <v>21</v>
      </c>
      <c r="D796" t="s">
        <v>11</v>
      </c>
      <c r="E796" t="s">
        <v>12</v>
      </c>
      <c r="F796">
        <v>-6.55</v>
      </c>
      <c r="G796">
        <v>0.90359999999999996</v>
      </c>
      <c r="H796">
        <v>5.734</v>
      </c>
      <c r="I796">
        <v>5.1812423999999986</v>
      </c>
      <c r="K796" t="str">
        <f>INDEX([1]Sheet1!$A$1:$G$108, MATCH(B796,[1]Sheet1!$B:$B,0), 1)</f>
        <v>4-tert-Amylphenol</v>
      </c>
      <c r="L796" t="str">
        <f>INDEX([1]Sheet1!$A$1:$G$108, MATCH(B796,[1]Sheet1!$B:$B,0), 3)</f>
        <v>weak</v>
      </c>
      <c r="M796" t="s">
        <v>109</v>
      </c>
    </row>
    <row r="797" spans="1:13" x14ac:dyDescent="0.3">
      <c r="A797" t="s">
        <v>92</v>
      </c>
      <c r="B797" t="str">
        <f>_xlfn.TEXTBEFORE(_xlfn.TEXTAFTER(A797,"cas-"),"_")</f>
        <v>80-46-6</v>
      </c>
      <c r="C797" t="s">
        <v>18</v>
      </c>
      <c r="D797" t="s">
        <v>11</v>
      </c>
      <c r="E797" t="s">
        <v>12</v>
      </c>
      <c r="F797">
        <v>-6.57</v>
      </c>
      <c r="G797">
        <v>0.89229999999999998</v>
      </c>
      <c r="H797">
        <v>5.8719999999999999</v>
      </c>
      <c r="I797">
        <v>5.2395855999999998</v>
      </c>
      <c r="K797" t="str">
        <f>INDEX([1]Sheet1!$A$1:$G$108, MATCH(B797,[1]Sheet1!$B:$B,0), 1)</f>
        <v>4-tert-Amylphenol</v>
      </c>
      <c r="L797" t="str">
        <f>INDEX([1]Sheet1!$A$1:$G$108, MATCH(B797,[1]Sheet1!$B:$B,0), 3)</f>
        <v>weak</v>
      </c>
      <c r="M797" t="s">
        <v>109</v>
      </c>
    </row>
    <row r="798" spans="1:13" x14ac:dyDescent="0.3">
      <c r="A798" t="s">
        <v>92</v>
      </c>
      <c r="B798" t="str">
        <f>_xlfn.TEXTBEFORE(_xlfn.TEXTAFTER(A798,"cas-"),"_")</f>
        <v>80-46-6</v>
      </c>
      <c r="C798" t="s">
        <v>27</v>
      </c>
      <c r="D798" t="s">
        <v>11</v>
      </c>
      <c r="E798" t="s">
        <v>12</v>
      </c>
      <c r="F798">
        <v>-7.12</v>
      </c>
      <c r="G798">
        <v>0.92230000000000001</v>
      </c>
      <c r="H798">
        <v>6.1890000000000001</v>
      </c>
      <c r="I798">
        <v>5.7081147000000003</v>
      </c>
      <c r="K798" t="str">
        <f>INDEX([1]Sheet1!$A$1:$G$108, MATCH(B798,[1]Sheet1!$B:$B,0), 1)</f>
        <v>4-tert-Amylphenol</v>
      </c>
      <c r="L798" t="str">
        <f>INDEX([1]Sheet1!$A$1:$G$108, MATCH(B798,[1]Sheet1!$B:$B,0), 3)</f>
        <v>weak</v>
      </c>
      <c r="M798" t="s">
        <v>109</v>
      </c>
    </row>
    <row r="799" spans="1:13" x14ac:dyDescent="0.3">
      <c r="A799" t="s">
        <v>92</v>
      </c>
      <c r="B799" t="str">
        <f>_xlfn.TEXTBEFORE(_xlfn.TEXTAFTER(A799,"cas-"),"_")</f>
        <v>80-46-6</v>
      </c>
      <c r="C799" t="s">
        <v>26</v>
      </c>
      <c r="D799" t="s">
        <v>14</v>
      </c>
      <c r="E799" t="s">
        <v>12</v>
      </c>
      <c r="F799">
        <v>-6.52</v>
      </c>
      <c r="G799">
        <v>0.91769999999999996</v>
      </c>
      <c r="H799">
        <v>6.29</v>
      </c>
      <c r="I799">
        <v>5.7723329999999997</v>
      </c>
      <c r="K799" t="str">
        <f>INDEX([1]Sheet1!$A$1:$G$108, MATCH(B799,[1]Sheet1!$B:$B,0), 1)</f>
        <v>4-tert-Amylphenol</v>
      </c>
      <c r="L799" t="str">
        <f>INDEX([1]Sheet1!$A$1:$G$108, MATCH(B799,[1]Sheet1!$B:$B,0), 3)</f>
        <v>weak</v>
      </c>
      <c r="M799" t="s">
        <v>109</v>
      </c>
    </row>
    <row r="800" spans="1:13" x14ac:dyDescent="0.3">
      <c r="A800" t="s">
        <v>92</v>
      </c>
      <c r="B800" t="str">
        <f>_xlfn.TEXTBEFORE(_xlfn.TEXTAFTER(A800,"cas-"),"_")</f>
        <v>80-46-6</v>
      </c>
      <c r="C800" t="s">
        <v>19</v>
      </c>
      <c r="D800" t="s">
        <v>20</v>
      </c>
      <c r="E800" t="s">
        <v>12</v>
      </c>
      <c r="F800">
        <v>-6.58</v>
      </c>
      <c r="G800">
        <v>0.89349999999999996</v>
      </c>
      <c r="H800">
        <v>6.2949999999999999</v>
      </c>
      <c r="I800">
        <v>5.6245824999999998</v>
      </c>
      <c r="K800" t="str">
        <f>INDEX([1]Sheet1!$A$1:$G$108, MATCH(B800,[1]Sheet1!$B:$B,0), 1)</f>
        <v>4-tert-Amylphenol</v>
      </c>
      <c r="L800" t="str">
        <f>INDEX([1]Sheet1!$A$1:$G$108, MATCH(B800,[1]Sheet1!$B:$B,0), 3)</f>
        <v>weak</v>
      </c>
      <c r="M800" t="s">
        <v>109</v>
      </c>
    </row>
    <row r="801" spans="1:13" x14ac:dyDescent="0.3">
      <c r="A801" t="s">
        <v>92</v>
      </c>
      <c r="B801" t="str">
        <f>_xlfn.TEXTBEFORE(_xlfn.TEXTAFTER(A801,"cas-"),"_")</f>
        <v>80-46-6</v>
      </c>
      <c r="C801" t="s">
        <v>13</v>
      </c>
      <c r="D801" t="s">
        <v>14</v>
      </c>
      <c r="E801" t="s">
        <v>12</v>
      </c>
      <c r="F801">
        <v>-6.72</v>
      </c>
      <c r="G801">
        <v>0.93869999999999998</v>
      </c>
      <c r="H801">
        <v>6.0289999999999999</v>
      </c>
      <c r="I801">
        <v>5.6594223000000001</v>
      </c>
      <c r="K801" t="str">
        <f>INDEX([1]Sheet1!$A$1:$G$108, MATCH(B801,[1]Sheet1!$B:$B,0), 1)</f>
        <v>4-tert-Amylphenol</v>
      </c>
      <c r="L801" t="str">
        <f>INDEX([1]Sheet1!$A$1:$G$108, MATCH(B801,[1]Sheet1!$B:$B,0), 3)</f>
        <v>weak</v>
      </c>
      <c r="M801" t="s">
        <v>109</v>
      </c>
    </row>
    <row r="802" spans="1:13" x14ac:dyDescent="0.3">
      <c r="A802" t="s">
        <v>92</v>
      </c>
      <c r="B802" t="str">
        <f>_xlfn.TEXTBEFORE(_xlfn.TEXTAFTER(A802,"cas-"),"_")</f>
        <v>80-46-6</v>
      </c>
      <c r="C802" t="s">
        <v>15</v>
      </c>
      <c r="D802" t="s">
        <v>16</v>
      </c>
      <c r="E802" t="s">
        <v>12</v>
      </c>
      <c r="F802">
        <v>-6.88</v>
      </c>
      <c r="G802">
        <v>0.88249999999999995</v>
      </c>
      <c r="H802">
        <v>6.2510000000000003</v>
      </c>
      <c r="I802">
        <v>5.5165075000000003</v>
      </c>
      <c r="K802" t="str">
        <f>INDEX([1]Sheet1!$A$1:$G$108, MATCH(B802,[1]Sheet1!$B:$B,0), 1)</f>
        <v>4-tert-Amylphenol</v>
      </c>
      <c r="L802" t="str">
        <f>INDEX([1]Sheet1!$A$1:$G$108, MATCH(B802,[1]Sheet1!$B:$B,0), 3)</f>
        <v>weak</v>
      </c>
      <c r="M802" t="s">
        <v>109</v>
      </c>
    </row>
    <row r="803" spans="1:13" x14ac:dyDescent="0.3">
      <c r="A803" t="s">
        <v>92</v>
      </c>
      <c r="B803" t="str">
        <f>_xlfn.TEXTBEFORE(_xlfn.TEXTAFTER(A803,"cas-"),"_")</f>
        <v>80-46-6</v>
      </c>
      <c r="C803" t="s">
        <v>10</v>
      </c>
      <c r="D803" t="s">
        <v>11</v>
      </c>
      <c r="E803" t="s">
        <v>12</v>
      </c>
      <c r="F803">
        <v>-6.53</v>
      </c>
      <c r="G803">
        <v>0.90549999999999997</v>
      </c>
      <c r="H803">
        <v>6.5330000000000004</v>
      </c>
      <c r="I803">
        <v>5.9156314999999999</v>
      </c>
      <c r="K803" t="str">
        <f>INDEX([1]Sheet1!$A$1:$G$108, MATCH(B803,[1]Sheet1!$B:$B,0), 1)</f>
        <v>4-tert-Amylphenol</v>
      </c>
      <c r="L803" t="str">
        <f>INDEX([1]Sheet1!$A$1:$G$108, MATCH(B803,[1]Sheet1!$B:$B,0), 3)</f>
        <v>weak</v>
      </c>
      <c r="M803" t="s">
        <v>109</v>
      </c>
    </row>
    <row r="804" spans="1:13" x14ac:dyDescent="0.3">
      <c r="A804" t="s">
        <v>92</v>
      </c>
      <c r="B804" t="str">
        <f>_xlfn.TEXTBEFORE(_xlfn.TEXTAFTER(A804,"cas-"),"_")</f>
        <v>80-46-6</v>
      </c>
      <c r="C804" t="s">
        <v>22</v>
      </c>
      <c r="D804" t="s">
        <v>23</v>
      </c>
      <c r="E804" t="s">
        <v>12</v>
      </c>
      <c r="F804">
        <v>-6.48</v>
      </c>
      <c r="G804">
        <v>0.90180000000000005</v>
      </c>
      <c r="H804">
        <v>6.3390000000000004</v>
      </c>
      <c r="I804">
        <v>5.716510200000001</v>
      </c>
      <c r="K804" t="str">
        <f>INDEX([1]Sheet1!$A$1:$G$108, MATCH(B804,[1]Sheet1!$B:$B,0), 1)</f>
        <v>4-tert-Amylphenol</v>
      </c>
      <c r="L804" t="str">
        <f>INDEX([1]Sheet1!$A$1:$G$108, MATCH(B804,[1]Sheet1!$B:$B,0), 3)</f>
        <v>weak</v>
      </c>
      <c r="M804" t="s">
        <v>109</v>
      </c>
    </row>
    <row r="805" spans="1:13" x14ac:dyDescent="0.3">
      <c r="A805" t="s">
        <v>92</v>
      </c>
      <c r="B805" t="str">
        <f>_xlfn.TEXTBEFORE(_xlfn.TEXTAFTER(A805,"cas-"),"_")</f>
        <v>80-46-6</v>
      </c>
      <c r="C805" t="s">
        <v>30</v>
      </c>
      <c r="D805" t="s">
        <v>31</v>
      </c>
      <c r="E805" t="s">
        <v>12</v>
      </c>
      <c r="F805">
        <v>-6.41</v>
      </c>
      <c r="G805">
        <v>0.9274</v>
      </c>
      <c r="H805">
        <v>6.423</v>
      </c>
      <c r="I805">
        <v>5.9566901999999997</v>
      </c>
      <c r="K805" t="str">
        <f>INDEX([1]Sheet1!$A$1:$G$108, MATCH(B805,[1]Sheet1!$B:$B,0), 1)</f>
        <v>4-tert-Amylphenol</v>
      </c>
      <c r="L805" t="str">
        <f>INDEX([1]Sheet1!$A$1:$G$108, MATCH(B805,[1]Sheet1!$B:$B,0), 3)</f>
        <v>weak</v>
      </c>
      <c r="M805" t="s">
        <v>109</v>
      </c>
    </row>
    <row r="806" spans="1:13" x14ac:dyDescent="0.3">
      <c r="A806" t="s">
        <v>92</v>
      </c>
      <c r="B806" t="str">
        <f>_xlfn.TEXTBEFORE(_xlfn.TEXTAFTER(A806,"cas-"),"_")</f>
        <v>80-46-6</v>
      </c>
      <c r="C806" t="s">
        <v>17</v>
      </c>
      <c r="D806" t="s">
        <v>11</v>
      </c>
      <c r="E806" t="s">
        <v>12</v>
      </c>
      <c r="F806">
        <v>-6.86</v>
      </c>
      <c r="G806">
        <v>0.89759999999999995</v>
      </c>
      <c r="H806">
        <v>6.16</v>
      </c>
      <c r="I806">
        <v>5.5292159999999999</v>
      </c>
      <c r="K806" t="str">
        <f>INDEX([1]Sheet1!$A$1:$G$108, MATCH(B806,[1]Sheet1!$B:$B,0), 1)</f>
        <v>4-tert-Amylphenol</v>
      </c>
      <c r="L806" t="str">
        <f>INDEX([1]Sheet1!$A$1:$G$108, MATCH(B806,[1]Sheet1!$B:$B,0), 3)</f>
        <v>weak</v>
      </c>
      <c r="M806" t="s">
        <v>109</v>
      </c>
    </row>
    <row r="807" spans="1:13" x14ac:dyDescent="0.3">
      <c r="A807" t="s">
        <v>92</v>
      </c>
      <c r="B807" t="str">
        <f>_xlfn.TEXTBEFORE(_xlfn.TEXTAFTER(A807,"cas-"),"_")</f>
        <v>80-46-6</v>
      </c>
      <c r="C807" t="s">
        <v>24</v>
      </c>
      <c r="D807" t="s">
        <v>25</v>
      </c>
      <c r="E807" t="s">
        <v>12</v>
      </c>
      <c r="F807">
        <v>-6.51</v>
      </c>
      <c r="G807">
        <v>0.86</v>
      </c>
      <c r="H807">
        <v>6.1020000000000003</v>
      </c>
      <c r="I807">
        <v>5.2477200000000002</v>
      </c>
      <c r="K807" t="str">
        <f>INDEX([1]Sheet1!$A$1:$G$108, MATCH(B807,[1]Sheet1!$B:$B,0), 1)</f>
        <v>4-tert-Amylphenol</v>
      </c>
      <c r="L807" t="str">
        <f>INDEX([1]Sheet1!$A$1:$G$108, MATCH(B807,[1]Sheet1!$B:$B,0), 3)</f>
        <v>weak</v>
      </c>
      <c r="M807" t="s">
        <v>109</v>
      </c>
    </row>
    <row r="808" spans="1:13" x14ac:dyDescent="0.3">
      <c r="A808" t="s">
        <v>93</v>
      </c>
      <c r="B808" t="str">
        <f>_xlfn.TEXTBEFORE(_xlfn.TEXTAFTER(A808,"cas-"),"_")</f>
        <v>81-90-3</v>
      </c>
      <c r="C808" t="s">
        <v>18</v>
      </c>
      <c r="D808" t="s">
        <v>11</v>
      </c>
      <c r="E808" t="s">
        <v>12</v>
      </c>
      <c r="F808">
        <v>-9.56</v>
      </c>
      <c r="G808">
        <v>0.93420000000000003</v>
      </c>
      <c r="H808">
        <v>7.343</v>
      </c>
      <c r="I808">
        <v>6.8598305999999996</v>
      </c>
      <c r="K808" t="str">
        <f>INDEX([1]Sheet1!$A$1:$G$108, MATCH(B808,[1]Sheet1!$B:$B,0), 1)</f>
        <v>Phenolphthalin</v>
      </c>
      <c r="L808" t="str">
        <f>INDEX([1]Sheet1!$A$1:$G$108, MATCH(B808,[1]Sheet1!$B:$B,0), 3)</f>
        <v>weak</v>
      </c>
      <c r="M808" t="s">
        <v>109</v>
      </c>
    </row>
    <row r="809" spans="1:13" x14ac:dyDescent="0.3">
      <c r="A809" t="s">
        <v>93</v>
      </c>
      <c r="B809" t="str">
        <f>_xlfn.TEXTBEFORE(_xlfn.TEXTAFTER(A809,"cas-"),"_")</f>
        <v>81-90-3</v>
      </c>
      <c r="C809" t="s">
        <v>19</v>
      </c>
      <c r="D809" t="s">
        <v>20</v>
      </c>
      <c r="E809" t="s">
        <v>12</v>
      </c>
      <c r="F809">
        <v>-8.5500000000000007</v>
      </c>
      <c r="G809">
        <v>0.8518</v>
      </c>
      <c r="H809">
        <v>7.0780000000000003</v>
      </c>
      <c r="I809">
        <v>6.0290404000000004</v>
      </c>
      <c r="K809" t="str">
        <f>INDEX([1]Sheet1!$A$1:$G$108, MATCH(B809,[1]Sheet1!$B:$B,0), 1)</f>
        <v>Phenolphthalin</v>
      </c>
      <c r="L809" t="str">
        <f>INDEX([1]Sheet1!$A$1:$G$108, MATCH(B809,[1]Sheet1!$B:$B,0), 3)</f>
        <v>weak</v>
      </c>
      <c r="M809" t="s">
        <v>109</v>
      </c>
    </row>
    <row r="810" spans="1:13" x14ac:dyDescent="0.3">
      <c r="A810" t="s">
        <v>93</v>
      </c>
      <c r="B810" t="str">
        <f>_xlfn.TEXTBEFORE(_xlfn.TEXTAFTER(A810,"cas-"),"_")</f>
        <v>81-90-3</v>
      </c>
      <c r="C810" t="s">
        <v>17</v>
      </c>
      <c r="D810" t="s">
        <v>11</v>
      </c>
      <c r="E810" t="s">
        <v>12</v>
      </c>
      <c r="F810">
        <v>-8.16</v>
      </c>
      <c r="G810">
        <v>0.83040000000000003</v>
      </c>
      <c r="H810">
        <v>7.2140000000000004</v>
      </c>
      <c r="I810">
        <v>5.9905056000000014</v>
      </c>
      <c r="K810" t="str">
        <f>INDEX([1]Sheet1!$A$1:$G$108, MATCH(B810,[1]Sheet1!$B:$B,0), 1)</f>
        <v>Phenolphthalin</v>
      </c>
      <c r="L810" t="str">
        <f>INDEX([1]Sheet1!$A$1:$G$108, MATCH(B810,[1]Sheet1!$B:$B,0), 3)</f>
        <v>weak</v>
      </c>
      <c r="M810" t="s">
        <v>109</v>
      </c>
    </row>
    <row r="811" spans="1:13" x14ac:dyDescent="0.3">
      <c r="A811" t="s">
        <v>93</v>
      </c>
      <c r="B811" t="str">
        <f>_xlfn.TEXTBEFORE(_xlfn.TEXTAFTER(A811,"cas-"),"_")</f>
        <v>81-90-3</v>
      </c>
      <c r="C811" t="s">
        <v>22</v>
      </c>
      <c r="D811" t="s">
        <v>23</v>
      </c>
      <c r="E811" t="s">
        <v>12</v>
      </c>
      <c r="F811">
        <v>-9.0500000000000007</v>
      </c>
      <c r="G811">
        <v>0.81330000000000002</v>
      </c>
      <c r="H811">
        <v>6.6970000000000001</v>
      </c>
      <c r="I811">
        <v>5.4466701000000004</v>
      </c>
      <c r="K811" t="str">
        <f>INDEX([1]Sheet1!$A$1:$G$108, MATCH(B811,[1]Sheet1!$B:$B,0), 1)</f>
        <v>Phenolphthalin</v>
      </c>
      <c r="L811" t="str">
        <f>INDEX([1]Sheet1!$A$1:$G$108, MATCH(B811,[1]Sheet1!$B:$B,0), 3)</f>
        <v>weak</v>
      </c>
      <c r="M811" t="s">
        <v>109</v>
      </c>
    </row>
    <row r="812" spans="1:13" x14ac:dyDescent="0.3">
      <c r="A812" t="s">
        <v>93</v>
      </c>
      <c r="B812" t="str">
        <f>_xlfn.TEXTBEFORE(_xlfn.TEXTAFTER(A812,"cas-"),"_")</f>
        <v>81-90-3</v>
      </c>
      <c r="C812" t="s">
        <v>28</v>
      </c>
      <c r="D812" t="s">
        <v>29</v>
      </c>
      <c r="E812" t="s">
        <v>12</v>
      </c>
      <c r="F812">
        <v>-8.8800000000000008</v>
      </c>
      <c r="G812">
        <v>0.75219999999999998</v>
      </c>
      <c r="H812">
        <v>6.8319999999999999</v>
      </c>
      <c r="I812">
        <v>5.1390303999999993</v>
      </c>
      <c r="K812" t="str">
        <f>INDEX([1]Sheet1!$A$1:$G$108, MATCH(B812,[1]Sheet1!$B:$B,0), 1)</f>
        <v>Phenolphthalin</v>
      </c>
      <c r="L812" t="str">
        <f>INDEX([1]Sheet1!$A$1:$G$108, MATCH(B812,[1]Sheet1!$B:$B,0), 3)</f>
        <v>weak</v>
      </c>
      <c r="M812" t="s">
        <v>109</v>
      </c>
    </row>
    <row r="813" spans="1:13" x14ac:dyDescent="0.3">
      <c r="A813" t="s">
        <v>93</v>
      </c>
      <c r="B813" t="str">
        <f>_xlfn.TEXTBEFORE(_xlfn.TEXTAFTER(A813,"cas-"),"_")</f>
        <v>81-90-3</v>
      </c>
      <c r="C813" t="s">
        <v>27</v>
      </c>
      <c r="D813" t="s">
        <v>11</v>
      </c>
      <c r="E813" t="s">
        <v>12</v>
      </c>
      <c r="F813">
        <v>-8.5299999999999994</v>
      </c>
      <c r="G813">
        <v>0.63700000000000001</v>
      </c>
      <c r="H813">
        <v>7.383</v>
      </c>
      <c r="I813">
        <v>4.7029709999999998</v>
      </c>
      <c r="K813" t="str">
        <f>INDEX([1]Sheet1!$A$1:$G$108, MATCH(B813,[1]Sheet1!$B:$B,0), 1)</f>
        <v>Phenolphthalin</v>
      </c>
      <c r="L813" t="str">
        <f>INDEX([1]Sheet1!$A$1:$G$108, MATCH(B813,[1]Sheet1!$B:$B,0), 3)</f>
        <v>weak</v>
      </c>
      <c r="M813" t="s">
        <v>109</v>
      </c>
    </row>
    <row r="814" spans="1:13" x14ac:dyDescent="0.3">
      <c r="A814" t="s">
        <v>93</v>
      </c>
      <c r="B814" t="str">
        <f>_xlfn.TEXTBEFORE(_xlfn.TEXTAFTER(A814,"cas-"),"_")</f>
        <v>81-90-3</v>
      </c>
      <c r="C814" t="s">
        <v>24</v>
      </c>
      <c r="D814" t="s">
        <v>25</v>
      </c>
      <c r="E814" t="s">
        <v>12</v>
      </c>
      <c r="F814">
        <v>-8.61</v>
      </c>
      <c r="G814">
        <v>0.8347</v>
      </c>
      <c r="H814">
        <v>7.34</v>
      </c>
      <c r="I814">
        <v>6.1266980000000002</v>
      </c>
      <c r="K814" t="str">
        <f>INDEX([1]Sheet1!$A$1:$G$108, MATCH(B814,[1]Sheet1!$B:$B,0), 1)</f>
        <v>Phenolphthalin</v>
      </c>
      <c r="L814" t="str">
        <f>INDEX([1]Sheet1!$A$1:$G$108, MATCH(B814,[1]Sheet1!$B:$B,0), 3)</f>
        <v>weak</v>
      </c>
      <c r="M814" t="s">
        <v>109</v>
      </c>
    </row>
    <row r="815" spans="1:13" x14ac:dyDescent="0.3">
      <c r="A815" t="s">
        <v>93</v>
      </c>
      <c r="B815" t="str">
        <f>_xlfn.TEXTBEFORE(_xlfn.TEXTAFTER(A815,"cas-"),"_")</f>
        <v>81-90-3</v>
      </c>
      <c r="C815" t="s">
        <v>13</v>
      </c>
      <c r="D815" t="s">
        <v>14</v>
      </c>
      <c r="E815" t="s">
        <v>12</v>
      </c>
      <c r="F815">
        <v>-7.61</v>
      </c>
      <c r="G815">
        <v>0.83250000000000002</v>
      </c>
      <c r="H815">
        <v>7.2249999999999996</v>
      </c>
      <c r="I815">
        <v>6.0148124999999997</v>
      </c>
      <c r="K815" t="str">
        <f>INDEX([1]Sheet1!$A$1:$G$108, MATCH(B815,[1]Sheet1!$B:$B,0), 1)</f>
        <v>Phenolphthalin</v>
      </c>
      <c r="L815" t="str">
        <f>INDEX([1]Sheet1!$A$1:$G$108, MATCH(B815,[1]Sheet1!$B:$B,0), 3)</f>
        <v>weak</v>
      </c>
      <c r="M815" t="s">
        <v>109</v>
      </c>
    </row>
    <row r="816" spans="1:13" x14ac:dyDescent="0.3">
      <c r="A816" t="s">
        <v>93</v>
      </c>
      <c r="B816" t="str">
        <f>_xlfn.TEXTBEFORE(_xlfn.TEXTAFTER(A816,"cas-"),"_")</f>
        <v>81-90-3</v>
      </c>
      <c r="C816" t="s">
        <v>21</v>
      </c>
      <c r="D816" t="s">
        <v>11</v>
      </c>
      <c r="E816" t="s">
        <v>12</v>
      </c>
      <c r="F816">
        <v>-9.77</v>
      </c>
      <c r="G816">
        <v>0.83540000000000003</v>
      </c>
      <c r="H816">
        <v>6.9969999999999999</v>
      </c>
      <c r="I816">
        <v>5.8452938000000003</v>
      </c>
      <c r="K816" t="str">
        <f>INDEX([1]Sheet1!$A$1:$G$108, MATCH(B816,[1]Sheet1!$B:$B,0), 1)</f>
        <v>Phenolphthalin</v>
      </c>
      <c r="L816" t="str">
        <f>INDEX([1]Sheet1!$A$1:$G$108, MATCH(B816,[1]Sheet1!$B:$B,0), 3)</f>
        <v>weak</v>
      </c>
      <c r="M816" t="s">
        <v>109</v>
      </c>
    </row>
    <row r="817" spans="1:13" x14ac:dyDescent="0.3">
      <c r="A817" t="s">
        <v>93</v>
      </c>
      <c r="B817" t="str">
        <f>_xlfn.TEXTBEFORE(_xlfn.TEXTAFTER(A817,"cas-"),"_")</f>
        <v>81-90-3</v>
      </c>
      <c r="C817" t="s">
        <v>26</v>
      </c>
      <c r="D817" t="s">
        <v>14</v>
      </c>
      <c r="E817" t="s">
        <v>12</v>
      </c>
      <c r="F817">
        <v>-8.67</v>
      </c>
      <c r="G817">
        <v>0.88759999999999994</v>
      </c>
      <c r="H817">
        <v>7.1449999999999996</v>
      </c>
      <c r="I817">
        <v>6.3419019999999993</v>
      </c>
      <c r="K817" t="str">
        <f>INDEX([1]Sheet1!$A$1:$G$108, MATCH(B817,[1]Sheet1!$B:$B,0), 1)</f>
        <v>Phenolphthalin</v>
      </c>
      <c r="L817" t="str">
        <f>INDEX([1]Sheet1!$A$1:$G$108, MATCH(B817,[1]Sheet1!$B:$B,0), 3)</f>
        <v>weak</v>
      </c>
      <c r="M817" t="s">
        <v>109</v>
      </c>
    </row>
    <row r="818" spans="1:13" x14ac:dyDescent="0.3">
      <c r="A818" t="s">
        <v>93</v>
      </c>
      <c r="B818" t="str">
        <f>_xlfn.TEXTBEFORE(_xlfn.TEXTAFTER(A818,"cas-"),"_")</f>
        <v>81-90-3</v>
      </c>
      <c r="C818" t="s">
        <v>10</v>
      </c>
      <c r="D818" t="s">
        <v>11</v>
      </c>
      <c r="E818" t="s">
        <v>12</v>
      </c>
      <c r="F818">
        <v>-8.2899999999999991</v>
      </c>
      <c r="G818">
        <v>0.79349999999999998</v>
      </c>
      <c r="H818">
        <v>6.8639999999999999</v>
      </c>
      <c r="I818">
        <v>5.4465839999999996</v>
      </c>
      <c r="K818" t="str">
        <f>INDEX([1]Sheet1!$A$1:$G$108, MATCH(B818,[1]Sheet1!$B:$B,0), 1)</f>
        <v>Phenolphthalin</v>
      </c>
      <c r="L818" t="str">
        <f>INDEX([1]Sheet1!$A$1:$G$108, MATCH(B818,[1]Sheet1!$B:$B,0), 3)</f>
        <v>weak</v>
      </c>
      <c r="M818" t="s">
        <v>109</v>
      </c>
    </row>
    <row r="819" spans="1:13" x14ac:dyDescent="0.3">
      <c r="A819" t="s">
        <v>93</v>
      </c>
      <c r="B819" t="str">
        <f>_xlfn.TEXTBEFORE(_xlfn.TEXTAFTER(A819,"cas-"),"_")</f>
        <v>81-90-3</v>
      </c>
      <c r="C819" t="s">
        <v>15</v>
      </c>
      <c r="D819" t="s">
        <v>16</v>
      </c>
      <c r="E819" t="s">
        <v>12</v>
      </c>
      <c r="F819">
        <v>-8.82</v>
      </c>
      <c r="G819">
        <v>0.64639999999999997</v>
      </c>
      <c r="H819">
        <v>6.6980000000000004</v>
      </c>
      <c r="I819">
        <v>4.3295871999999997</v>
      </c>
      <c r="K819" t="str">
        <f>INDEX([1]Sheet1!$A$1:$G$108, MATCH(B819,[1]Sheet1!$B:$B,0), 1)</f>
        <v>Phenolphthalin</v>
      </c>
      <c r="L819" t="str">
        <f>INDEX([1]Sheet1!$A$1:$G$108, MATCH(B819,[1]Sheet1!$B:$B,0), 3)</f>
        <v>weak</v>
      </c>
      <c r="M819" t="s">
        <v>109</v>
      </c>
    </row>
    <row r="820" spans="1:13" x14ac:dyDescent="0.3">
      <c r="A820" t="s">
        <v>93</v>
      </c>
      <c r="B820" t="str">
        <f>_xlfn.TEXTBEFORE(_xlfn.TEXTAFTER(A820,"cas-"),"_")</f>
        <v>81-90-3</v>
      </c>
      <c r="C820" t="s">
        <v>30</v>
      </c>
      <c r="D820" t="s">
        <v>31</v>
      </c>
      <c r="E820" t="s">
        <v>12</v>
      </c>
      <c r="F820">
        <v>-7.28</v>
      </c>
      <c r="G820">
        <v>0.69389999999999996</v>
      </c>
      <c r="H820">
        <v>6.8470000000000004</v>
      </c>
      <c r="I820">
        <v>4.7511333000000002</v>
      </c>
      <c r="K820" t="str">
        <f>INDEX([1]Sheet1!$A$1:$G$108, MATCH(B820,[1]Sheet1!$B:$B,0), 1)</f>
        <v>Phenolphthalin</v>
      </c>
      <c r="L820" t="str">
        <f>INDEX([1]Sheet1!$A$1:$G$108, MATCH(B820,[1]Sheet1!$B:$B,0), 3)</f>
        <v>weak</v>
      </c>
      <c r="M820" t="s">
        <v>109</v>
      </c>
    </row>
    <row r="821" spans="1:13" x14ac:dyDescent="0.3">
      <c r="A821" t="s">
        <v>94</v>
      </c>
      <c r="B821" t="str">
        <f>_xlfn.TEXTBEFORE(_xlfn.TEXTAFTER(A821,"cas-"),"_")</f>
        <v>83-46-5</v>
      </c>
      <c r="C821" t="s">
        <v>21</v>
      </c>
      <c r="D821" t="s">
        <v>11</v>
      </c>
      <c r="E821" t="s">
        <v>12</v>
      </c>
      <c r="F821">
        <v>5.61</v>
      </c>
      <c r="G821">
        <v>0.40600000000000003</v>
      </c>
      <c r="H821">
        <v>8.1180000000000003</v>
      </c>
      <c r="I821">
        <v>3.2959079999999998</v>
      </c>
      <c r="K821" t="str">
        <f>INDEX([1]Sheet1!$A$1:$G$108, MATCH(B821,[1]Sheet1!$B:$B,0), 1)</f>
        <v>Sitosterol</v>
      </c>
      <c r="L821" t="str">
        <f>INDEX([1]Sheet1!$A$1:$G$108, MATCH(B821,[1]Sheet1!$B:$B,0), 3)</f>
        <v>weak</v>
      </c>
      <c r="M821" t="s">
        <v>109</v>
      </c>
    </row>
    <row r="822" spans="1:13" x14ac:dyDescent="0.3">
      <c r="A822" t="s">
        <v>94</v>
      </c>
      <c r="B822" t="str">
        <f>_xlfn.TEXTBEFORE(_xlfn.TEXTAFTER(A822,"cas-"),"_")</f>
        <v>83-46-5</v>
      </c>
      <c r="C822" t="s">
        <v>13</v>
      </c>
      <c r="D822" t="s">
        <v>14</v>
      </c>
      <c r="E822" t="s">
        <v>12</v>
      </c>
      <c r="F822">
        <v>7.82</v>
      </c>
      <c r="G822">
        <v>0.39240000000000003</v>
      </c>
      <c r="H822">
        <v>7.9059999999999997</v>
      </c>
      <c r="I822">
        <v>3.1023144</v>
      </c>
      <c r="K822" t="str">
        <f>INDEX([1]Sheet1!$A$1:$G$108, MATCH(B822,[1]Sheet1!$B:$B,0), 1)</f>
        <v>Sitosterol</v>
      </c>
      <c r="L822" t="str">
        <f>INDEX([1]Sheet1!$A$1:$G$108, MATCH(B822,[1]Sheet1!$B:$B,0), 3)</f>
        <v>weak</v>
      </c>
      <c r="M822" t="s">
        <v>109</v>
      </c>
    </row>
    <row r="823" spans="1:13" x14ac:dyDescent="0.3">
      <c r="A823" t="s">
        <v>94</v>
      </c>
      <c r="B823" t="str">
        <f>_xlfn.TEXTBEFORE(_xlfn.TEXTAFTER(A823,"cas-"),"_")</f>
        <v>83-46-5</v>
      </c>
      <c r="C823" t="s">
        <v>24</v>
      </c>
      <c r="D823" t="s">
        <v>25</v>
      </c>
      <c r="E823" t="s">
        <v>12</v>
      </c>
      <c r="F823">
        <v>16.86</v>
      </c>
      <c r="G823">
        <v>0.41370000000000001</v>
      </c>
      <c r="H823">
        <v>7.7779999999999996</v>
      </c>
      <c r="I823">
        <v>3.2177585999999998</v>
      </c>
      <c r="K823" t="str">
        <f>INDEX([1]Sheet1!$A$1:$G$108, MATCH(B823,[1]Sheet1!$B:$B,0), 1)</f>
        <v>Sitosterol</v>
      </c>
      <c r="L823" t="str">
        <f>INDEX([1]Sheet1!$A$1:$G$108, MATCH(B823,[1]Sheet1!$B:$B,0), 3)</f>
        <v>weak</v>
      </c>
      <c r="M823" t="s">
        <v>109</v>
      </c>
    </row>
    <row r="824" spans="1:13" x14ac:dyDescent="0.3">
      <c r="A824" t="s">
        <v>94</v>
      </c>
      <c r="B824" t="str">
        <f>_xlfn.TEXTBEFORE(_xlfn.TEXTAFTER(A824,"cas-"),"_")</f>
        <v>83-46-5</v>
      </c>
      <c r="C824" t="s">
        <v>19</v>
      </c>
      <c r="D824" t="s">
        <v>20</v>
      </c>
      <c r="E824" t="s">
        <v>12</v>
      </c>
      <c r="F824">
        <v>14.27</v>
      </c>
      <c r="G824">
        <v>0.19769999999999999</v>
      </c>
      <c r="H824">
        <v>6.1470000000000002</v>
      </c>
      <c r="I824">
        <v>1.2152619</v>
      </c>
      <c r="K824" t="str">
        <f>INDEX([1]Sheet1!$A$1:$G$108, MATCH(B824,[1]Sheet1!$B:$B,0), 1)</f>
        <v>Sitosterol</v>
      </c>
      <c r="L824" t="str">
        <f>INDEX([1]Sheet1!$A$1:$G$108, MATCH(B824,[1]Sheet1!$B:$B,0), 3)</f>
        <v>weak</v>
      </c>
      <c r="M824" t="s">
        <v>109</v>
      </c>
    </row>
    <row r="825" spans="1:13" x14ac:dyDescent="0.3">
      <c r="A825" t="s">
        <v>94</v>
      </c>
      <c r="B825" t="str">
        <f>_xlfn.TEXTBEFORE(_xlfn.TEXTAFTER(A825,"cas-"),"_")</f>
        <v>83-46-5</v>
      </c>
      <c r="C825" t="s">
        <v>17</v>
      </c>
      <c r="D825" t="s">
        <v>11</v>
      </c>
      <c r="E825" t="s">
        <v>12</v>
      </c>
      <c r="F825">
        <v>14.23</v>
      </c>
      <c r="G825">
        <v>0.47189999999999999</v>
      </c>
      <c r="H825">
        <v>7.492</v>
      </c>
      <c r="I825">
        <v>3.5354747999999998</v>
      </c>
      <c r="K825" t="str">
        <f>INDEX([1]Sheet1!$A$1:$G$108, MATCH(B825,[1]Sheet1!$B:$B,0), 1)</f>
        <v>Sitosterol</v>
      </c>
      <c r="L825" t="str">
        <f>INDEX([1]Sheet1!$A$1:$G$108, MATCH(B825,[1]Sheet1!$B:$B,0), 3)</f>
        <v>weak</v>
      </c>
      <c r="M825" t="s">
        <v>109</v>
      </c>
    </row>
    <row r="826" spans="1:13" x14ac:dyDescent="0.3">
      <c r="A826" t="s">
        <v>94</v>
      </c>
      <c r="B826" t="str">
        <f>_xlfn.TEXTBEFORE(_xlfn.TEXTAFTER(A826,"cas-"),"_")</f>
        <v>83-46-5</v>
      </c>
      <c r="C826" t="s">
        <v>10</v>
      </c>
      <c r="D826" t="s">
        <v>11</v>
      </c>
      <c r="E826" t="s">
        <v>12</v>
      </c>
      <c r="F826">
        <v>9.5399999999999991</v>
      </c>
      <c r="G826">
        <v>0.43730000000000002</v>
      </c>
      <c r="H826">
        <v>8.09</v>
      </c>
      <c r="I826">
        <v>3.537757</v>
      </c>
      <c r="K826" t="str">
        <f>INDEX([1]Sheet1!$A$1:$G$108, MATCH(B826,[1]Sheet1!$B:$B,0), 1)</f>
        <v>Sitosterol</v>
      </c>
      <c r="L826" t="str">
        <f>INDEX([1]Sheet1!$A$1:$G$108, MATCH(B826,[1]Sheet1!$B:$B,0), 3)</f>
        <v>weak</v>
      </c>
      <c r="M826" t="s">
        <v>109</v>
      </c>
    </row>
    <row r="827" spans="1:13" x14ac:dyDescent="0.3">
      <c r="A827" t="s">
        <v>94</v>
      </c>
      <c r="B827" t="str">
        <f>_xlfn.TEXTBEFORE(_xlfn.TEXTAFTER(A827,"cas-"),"_")</f>
        <v>83-46-5</v>
      </c>
      <c r="C827" t="s">
        <v>26</v>
      </c>
      <c r="D827" t="s">
        <v>14</v>
      </c>
      <c r="E827" t="s">
        <v>12</v>
      </c>
      <c r="F827">
        <v>11.46</v>
      </c>
      <c r="G827">
        <v>0.76459999999999995</v>
      </c>
      <c r="H827">
        <v>8.5820000000000007</v>
      </c>
      <c r="I827">
        <v>6.5617972</v>
      </c>
      <c r="K827" t="str">
        <f>INDEX([1]Sheet1!$A$1:$G$108, MATCH(B827,[1]Sheet1!$B:$B,0), 1)</f>
        <v>Sitosterol</v>
      </c>
      <c r="L827" t="str">
        <f>INDEX([1]Sheet1!$A$1:$G$108, MATCH(B827,[1]Sheet1!$B:$B,0), 3)</f>
        <v>weak</v>
      </c>
      <c r="M827" t="s">
        <v>109</v>
      </c>
    </row>
    <row r="828" spans="1:13" x14ac:dyDescent="0.3">
      <c r="A828" t="s">
        <v>94</v>
      </c>
      <c r="B828" t="str">
        <f>_xlfn.TEXTBEFORE(_xlfn.TEXTAFTER(A828,"cas-"),"_")</f>
        <v>83-46-5</v>
      </c>
      <c r="C828" t="s">
        <v>18</v>
      </c>
      <c r="D828" t="s">
        <v>11</v>
      </c>
      <c r="E828" t="s">
        <v>12</v>
      </c>
      <c r="F828">
        <v>-0.76</v>
      </c>
      <c r="G828">
        <v>0.2944</v>
      </c>
      <c r="H828">
        <v>7.5590000000000002</v>
      </c>
      <c r="I828">
        <v>2.2253696000000001</v>
      </c>
      <c r="K828" t="str">
        <f>INDEX([1]Sheet1!$A$1:$G$108, MATCH(B828,[1]Sheet1!$B:$B,0), 1)</f>
        <v>Sitosterol</v>
      </c>
      <c r="L828" t="str">
        <f>INDEX([1]Sheet1!$A$1:$G$108, MATCH(B828,[1]Sheet1!$B:$B,0), 3)</f>
        <v>weak</v>
      </c>
      <c r="M828" t="s">
        <v>109</v>
      </c>
    </row>
    <row r="829" spans="1:13" x14ac:dyDescent="0.3">
      <c r="A829" t="s">
        <v>94</v>
      </c>
      <c r="B829" t="str">
        <f>_xlfn.TEXTBEFORE(_xlfn.TEXTAFTER(A829,"cas-"),"_")</f>
        <v>83-46-5</v>
      </c>
      <c r="C829" t="s">
        <v>28</v>
      </c>
      <c r="D829" t="s">
        <v>29</v>
      </c>
      <c r="E829" t="s">
        <v>12</v>
      </c>
      <c r="F829">
        <v>-2.99</v>
      </c>
      <c r="G829">
        <v>0.38390000000000002</v>
      </c>
      <c r="H829">
        <v>8.1709999999999994</v>
      </c>
      <c r="I829">
        <v>3.1368469000000001</v>
      </c>
      <c r="K829" t="str">
        <f>INDEX([1]Sheet1!$A$1:$G$108, MATCH(B829,[1]Sheet1!$B:$B,0), 1)</f>
        <v>Sitosterol</v>
      </c>
      <c r="L829" t="str">
        <f>INDEX([1]Sheet1!$A$1:$G$108, MATCH(B829,[1]Sheet1!$B:$B,0), 3)</f>
        <v>weak</v>
      </c>
      <c r="M829" t="s">
        <v>109</v>
      </c>
    </row>
    <row r="830" spans="1:13" x14ac:dyDescent="0.3">
      <c r="A830" t="s">
        <v>94</v>
      </c>
      <c r="B830" t="str">
        <f>_xlfn.TEXTBEFORE(_xlfn.TEXTAFTER(A830,"cas-"),"_")</f>
        <v>83-46-5</v>
      </c>
      <c r="C830" t="s">
        <v>27</v>
      </c>
      <c r="D830" t="s">
        <v>11</v>
      </c>
      <c r="E830" t="s">
        <v>12</v>
      </c>
      <c r="F830">
        <v>7.04</v>
      </c>
      <c r="G830">
        <v>0.34739999999999999</v>
      </c>
      <c r="H830">
        <v>7.7930000000000001</v>
      </c>
      <c r="I830">
        <v>2.7072881999999998</v>
      </c>
      <c r="K830" t="str">
        <f>INDEX([1]Sheet1!$A$1:$G$108, MATCH(B830,[1]Sheet1!$B:$B,0), 1)</f>
        <v>Sitosterol</v>
      </c>
      <c r="L830" t="str">
        <f>INDEX([1]Sheet1!$A$1:$G$108, MATCH(B830,[1]Sheet1!$B:$B,0), 3)</f>
        <v>weak</v>
      </c>
      <c r="M830" t="s">
        <v>109</v>
      </c>
    </row>
    <row r="831" spans="1:13" x14ac:dyDescent="0.3">
      <c r="A831" t="s">
        <v>94</v>
      </c>
      <c r="B831" t="str">
        <f>_xlfn.TEXTBEFORE(_xlfn.TEXTAFTER(A831,"cas-"),"_")</f>
        <v>83-46-5</v>
      </c>
      <c r="C831" t="s">
        <v>22</v>
      </c>
      <c r="D831" t="s">
        <v>23</v>
      </c>
      <c r="E831" t="s">
        <v>12</v>
      </c>
      <c r="F831">
        <v>18.29</v>
      </c>
      <c r="G831">
        <v>0.33260000000000001</v>
      </c>
      <c r="H831">
        <v>6.9009999999999998</v>
      </c>
      <c r="I831">
        <v>2.2952726000000001</v>
      </c>
      <c r="K831" t="str">
        <f>INDEX([1]Sheet1!$A$1:$G$108, MATCH(B831,[1]Sheet1!$B:$B,0), 1)</f>
        <v>Sitosterol</v>
      </c>
      <c r="L831" t="str">
        <f>INDEX([1]Sheet1!$A$1:$G$108, MATCH(B831,[1]Sheet1!$B:$B,0), 3)</f>
        <v>weak</v>
      </c>
      <c r="M831" t="s">
        <v>109</v>
      </c>
    </row>
    <row r="832" spans="1:13" x14ac:dyDescent="0.3">
      <c r="A832" t="s">
        <v>94</v>
      </c>
      <c r="B832" t="str">
        <f>_xlfn.TEXTBEFORE(_xlfn.TEXTAFTER(A832,"cas-"),"_")</f>
        <v>83-46-5</v>
      </c>
      <c r="C832" t="s">
        <v>30</v>
      </c>
      <c r="D832" t="s">
        <v>31</v>
      </c>
      <c r="E832" t="s">
        <v>12</v>
      </c>
      <c r="F832">
        <v>23.56</v>
      </c>
      <c r="G832">
        <v>0.3785</v>
      </c>
      <c r="H832">
        <v>7.2480000000000002</v>
      </c>
      <c r="I832">
        <v>2.7433679999999998</v>
      </c>
      <c r="K832" t="str">
        <f>INDEX([1]Sheet1!$A$1:$G$108, MATCH(B832,[1]Sheet1!$B:$B,0), 1)</f>
        <v>Sitosterol</v>
      </c>
      <c r="L832" t="str">
        <f>INDEX([1]Sheet1!$A$1:$G$108, MATCH(B832,[1]Sheet1!$B:$B,0), 3)</f>
        <v>weak</v>
      </c>
      <c r="M832" t="s">
        <v>109</v>
      </c>
    </row>
    <row r="833" spans="1:13" x14ac:dyDescent="0.3">
      <c r="A833" t="s">
        <v>94</v>
      </c>
      <c r="B833" t="str">
        <f>_xlfn.TEXTBEFORE(_xlfn.TEXTAFTER(A833,"cas-"),"_")</f>
        <v>83-46-5</v>
      </c>
      <c r="C833" t="s">
        <v>15</v>
      </c>
      <c r="D833" t="s">
        <v>16</v>
      </c>
      <c r="E833" t="s">
        <v>12</v>
      </c>
      <c r="F833">
        <v>-0.8</v>
      </c>
      <c r="G833">
        <v>0.37680000000000002</v>
      </c>
      <c r="H833">
        <v>8.1059999999999999</v>
      </c>
      <c r="I833">
        <v>3.0543407999999999</v>
      </c>
      <c r="K833" t="str">
        <f>INDEX([1]Sheet1!$A$1:$G$108, MATCH(B833,[1]Sheet1!$B:$B,0), 1)</f>
        <v>Sitosterol</v>
      </c>
      <c r="L833" t="str">
        <f>INDEX([1]Sheet1!$A$1:$G$108, MATCH(B833,[1]Sheet1!$B:$B,0), 3)</f>
        <v>weak</v>
      </c>
      <c r="M833" t="s">
        <v>109</v>
      </c>
    </row>
    <row r="834" spans="1:13" x14ac:dyDescent="0.3">
      <c r="A834" t="s">
        <v>95</v>
      </c>
      <c r="B834" t="str">
        <f>_xlfn.TEXTBEFORE(_xlfn.TEXTAFTER(A834,"cas-"),"_")</f>
        <v>84-74-2</v>
      </c>
      <c r="C834" t="s">
        <v>21</v>
      </c>
      <c r="D834" t="s">
        <v>11</v>
      </c>
      <c r="E834" t="s">
        <v>12</v>
      </c>
      <c r="F834">
        <v>-6.72</v>
      </c>
      <c r="G834">
        <v>0.83899999999999997</v>
      </c>
      <c r="H834">
        <v>5.5780000000000003</v>
      </c>
      <c r="I834">
        <v>4.6799419999999996</v>
      </c>
      <c r="K834" t="str">
        <f>INDEX([1]Sheet1!$A$1:$G$108, MATCH(B834,[1]Sheet1!$B:$B,0), 1)</f>
        <v>di-n-Butyl phthalate (DBuP)</v>
      </c>
      <c r="L834" t="str">
        <f>INDEX([1]Sheet1!$A$1:$G$108, MATCH(B834,[1]Sheet1!$B:$B,0), 3)</f>
        <v>weak</v>
      </c>
      <c r="M834" t="s">
        <v>109</v>
      </c>
    </row>
    <row r="835" spans="1:13" x14ac:dyDescent="0.3">
      <c r="A835" t="s">
        <v>95</v>
      </c>
      <c r="B835" t="str">
        <f>_xlfn.TEXTBEFORE(_xlfn.TEXTAFTER(A835,"cas-"),"_")</f>
        <v>84-74-2</v>
      </c>
      <c r="C835" t="s">
        <v>18</v>
      </c>
      <c r="D835" t="s">
        <v>11</v>
      </c>
      <c r="E835" t="s">
        <v>12</v>
      </c>
      <c r="F835">
        <v>-6.84</v>
      </c>
      <c r="G835">
        <v>0.85319999999999996</v>
      </c>
      <c r="H835">
        <v>4.9779999999999998</v>
      </c>
      <c r="I835">
        <v>4.2472295999999998</v>
      </c>
      <c r="K835" t="str">
        <f>INDEX([1]Sheet1!$A$1:$G$108, MATCH(B835,[1]Sheet1!$B:$B,0), 1)</f>
        <v>di-n-Butyl phthalate (DBuP)</v>
      </c>
      <c r="L835" t="str">
        <f>INDEX([1]Sheet1!$A$1:$G$108, MATCH(B835,[1]Sheet1!$B:$B,0), 3)</f>
        <v>weak</v>
      </c>
      <c r="M835" t="s">
        <v>109</v>
      </c>
    </row>
    <row r="836" spans="1:13" x14ac:dyDescent="0.3">
      <c r="A836" t="s">
        <v>95</v>
      </c>
      <c r="B836" t="str">
        <f>_xlfn.TEXTBEFORE(_xlfn.TEXTAFTER(A836,"cas-"),"_")</f>
        <v>84-74-2</v>
      </c>
      <c r="C836" t="s">
        <v>17</v>
      </c>
      <c r="D836" t="s">
        <v>11</v>
      </c>
      <c r="E836" t="s">
        <v>12</v>
      </c>
      <c r="F836">
        <v>-6.83</v>
      </c>
      <c r="G836">
        <v>0.78400000000000003</v>
      </c>
      <c r="H836">
        <v>4.96</v>
      </c>
      <c r="I836">
        <v>3.8886400000000001</v>
      </c>
      <c r="K836" t="str">
        <f>INDEX([1]Sheet1!$A$1:$G$108, MATCH(B836,[1]Sheet1!$B:$B,0), 1)</f>
        <v>di-n-Butyl phthalate (DBuP)</v>
      </c>
      <c r="L836" t="str">
        <f>INDEX([1]Sheet1!$A$1:$G$108, MATCH(B836,[1]Sheet1!$B:$B,0), 3)</f>
        <v>weak</v>
      </c>
      <c r="M836" t="s">
        <v>109</v>
      </c>
    </row>
    <row r="837" spans="1:13" x14ac:dyDescent="0.3">
      <c r="A837" t="s">
        <v>95</v>
      </c>
      <c r="B837" t="str">
        <f>_xlfn.TEXTBEFORE(_xlfn.TEXTAFTER(A837,"cas-"),"_")</f>
        <v>84-74-2</v>
      </c>
      <c r="C837" t="s">
        <v>27</v>
      </c>
      <c r="D837" t="s">
        <v>11</v>
      </c>
      <c r="E837" t="s">
        <v>12</v>
      </c>
      <c r="F837">
        <v>-6.54</v>
      </c>
      <c r="G837">
        <v>0.57430000000000003</v>
      </c>
      <c r="H837">
        <v>5.7469999999999999</v>
      </c>
      <c r="I837">
        <v>3.3005021000000001</v>
      </c>
      <c r="K837" t="str">
        <f>INDEX([1]Sheet1!$A$1:$G$108, MATCH(B837,[1]Sheet1!$B:$B,0), 1)</f>
        <v>di-n-Butyl phthalate (DBuP)</v>
      </c>
      <c r="L837" t="str">
        <f>INDEX([1]Sheet1!$A$1:$G$108, MATCH(B837,[1]Sheet1!$B:$B,0), 3)</f>
        <v>weak</v>
      </c>
      <c r="M837" t="s">
        <v>109</v>
      </c>
    </row>
    <row r="838" spans="1:13" x14ac:dyDescent="0.3">
      <c r="A838" t="s">
        <v>95</v>
      </c>
      <c r="B838" t="str">
        <f>_xlfn.TEXTBEFORE(_xlfn.TEXTAFTER(A838,"cas-"),"_")</f>
        <v>84-74-2</v>
      </c>
      <c r="C838" t="s">
        <v>30</v>
      </c>
      <c r="D838" t="s">
        <v>31</v>
      </c>
      <c r="E838" t="s">
        <v>12</v>
      </c>
      <c r="F838">
        <v>-6.46</v>
      </c>
      <c r="G838">
        <v>0.83840000000000003</v>
      </c>
      <c r="H838">
        <v>5.29</v>
      </c>
      <c r="I838">
        <v>4.435136</v>
      </c>
      <c r="K838" t="str">
        <f>INDEX([1]Sheet1!$A$1:$G$108, MATCH(B838,[1]Sheet1!$B:$B,0), 1)</f>
        <v>di-n-Butyl phthalate (DBuP)</v>
      </c>
      <c r="L838" t="str">
        <f>INDEX([1]Sheet1!$A$1:$G$108, MATCH(B838,[1]Sheet1!$B:$B,0), 3)</f>
        <v>weak</v>
      </c>
      <c r="M838" t="s">
        <v>109</v>
      </c>
    </row>
    <row r="839" spans="1:13" x14ac:dyDescent="0.3">
      <c r="A839" t="s">
        <v>95</v>
      </c>
      <c r="B839" t="str">
        <f>_xlfn.TEXTBEFORE(_xlfn.TEXTAFTER(A839,"cas-"),"_")</f>
        <v>84-74-2</v>
      </c>
      <c r="C839" t="s">
        <v>13</v>
      </c>
      <c r="D839" t="s">
        <v>14</v>
      </c>
      <c r="E839" t="s">
        <v>12</v>
      </c>
      <c r="F839">
        <v>-6.76</v>
      </c>
      <c r="G839">
        <v>0.68169999999999997</v>
      </c>
      <c r="H839">
        <v>5.1310000000000002</v>
      </c>
      <c r="I839">
        <v>3.4978026999999998</v>
      </c>
      <c r="K839" t="str">
        <f>INDEX([1]Sheet1!$A$1:$G$108, MATCH(B839,[1]Sheet1!$B:$B,0), 1)</f>
        <v>di-n-Butyl phthalate (DBuP)</v>
      </c>
      <c r="L839" t="str">
        <f>INDEX([1]Sheet1!$A$1:$G$108, MATCH(B839,[1]Sheet1!$B:$B,0), 3)</f>
        <v>weak</v>
      </c>
      <c r="M839" t="s">
        <v>109</v>
      </c>
    </row>
    <row r="840" spans="1:13" x14ac:dyDescent="0.3">
      <c r="A840" t="s">
        <v>95</v>
      </c>
      <c r="B840" t="str">
        <f>_xlfn.TEXTBEFORE(_xlfn.TEXTAFTER(A840,"cas-"),"_")</f>
        <v>84-74-2</v>
      </c>
      <c r="C840" t="s">
        <v>28</v>
      </c>
      <c r="D840" t="s">
        <v>29</v>
      </c>
      <c r="E840" t="s">
        <v>12</v>
      </c>
      <c r="F840">
        <v>-6.81</v>
      </c>
      <c r="G840">
        <v>0.91120000000000001</v>
      </c>
      <c r="H840">
        <v>5.3470000000000004</v>
      </c>
      <c r="I840">
        <v>4.8721864000000004</v>
      </c>
      <c r="K840" t="str">
        <f>INDEX([1]Sheet1!$A$1:$G$108, MATCH(B840,[1]Sheet1!$B:$B,0), 1)</f>
        <v>di-n-Butyl phthalate (DBuP)</v>
      </c>
      <c r="L840" t="str">
        <f>INDEX([1]Sheet1!$A$1:$G$108, MATCH(B840,[1]Sheet1!$B:$B,0), 3)</f>
        <v>weak</v>
      </c>
      <c r="M840" t="s">
        <v>109</v>
      </c>
    </row>
    <row r="841" spans="1:13" x14ac:dyDescent="0.3">
      <c r="A841" t="s">
        <v>95</v>
      </c>
      <c r="B841" t="str">
        <f>_xlfn.TEXTBEFORE(_xlfn.TEXTAFTER(A841,"cas-"),"_")</f>
        <v>84-74-2</v>
      </c>
      <c r="C841" t="s">
        <v>24</v>
      </c>
      <c r="D841" t="s">
        <v>25</v>
      </c>
      <c r="E841" t="s">
        <v>12</v>
      </c>
      <c r="F841">
        <v>-6.75</v>
      </c>
      <c r="G841">
        <v>0.85009999999999997</v>
      </c>
      <c r="H841">
        <v>5.1660000000000004</v>
      </c>
      <c r="I841">
        <v>4.3916165999999999</v>
      </c>
      <c r="K841" t="str">
        <f>INDEX([1]Sheet1!$A$1:$G$108, MATCH(B841,[1]Sheet1!$B:$B,0), 1)</f>
        <v>di-n-Butyl phthalate (DBuP)</v>
      </c>
      <c r="L841" t="str">
        <f>INDEX([1]Sheet1!$A$1:$G$108, MATCH(B841,[1]Sheet1!$B:$B,0), 3)</f>
        <v>weak</v>
      </c>
      <c r="M841" t="s">
        <v>109</v>
      </c>
    </row>
    <row r="842" spans="1:13" x14ac:dyDescent="0.3">
      <c r="A842" t="s">
        <v>95</v>
      </c>
      <c r="B842" t="str">
        <f>_xlfn.TEXTBEFORE(_xlfn.TEXTAFTER(A842,"cas-"),"_")</f>
        <v>84-74-2</v>
      </c>
      <c r="C842" t="s">
        <v>22</v>
      </c>
      <c r="D842" t="s">
        <v>23</v>
      </c>
      <c r="E842" t="s">
        <v>12</v>
      </c>
      <c r="F842">
        <v>-6.73</v>
      </c>
      <c r="G842">
        <v>0.78100000000000003</v>
      </c>
      <c r="H842">
        <v>5.399</v>
      </c>
      <c r="I842">
        <v>4.2166190000000006</v>
      </c>
      <c r="K842" t="str">
        <f>INDEX([1]Sheet1!$A$1:$G$108, MATCH(B842,[1]Sheet1!$B:$B,0), 1)</f>
        <v>di-n-Butyl phthalate (DBuP)</v>
      </c>
      <c r="L842" t="str">
        <f>INDEX([1]Sheet1!$A$1:$G$108, MATCH(B842,[1]Sheet1!$B:$B,0), 3)</f>
        <v>weak</v>
      </c>
      <c r="M842" t="s">
        <v>109</v>
      </c>
    </row>
    <row r="843" spans="1:13" x14ac:dyDescent="0.3">
      <c r="A843" t="s">
        <v>95</v>
      </c>
      <c r="B843" t="str">
        <f>_xlfn.TEXTBEFORE(_xlfn.TEXTAFTER(A843,"cas-"),"_")</f>
        <v>84-74-2</v>
      </c>
      <c r="C843" t="s">
        <v>10</v>
      </c>
      <c r="D843" t="s">
        <v>11</v>
      </c>
      <c r="E843" t="s">
        <v>12</v>
      </c>
      <c r="F843">
        <v>-6.72</v>
      </c>
      <c r="G843">
        <v>0.89990000000000003</v>
      </c>
      <c r="H843">
        <v>5</v>
      </c>
      <c r="I843">
        <v>4.4995000000000003</v>
      </c>
      <c r="K843" t="str">
        <f>INDEX([1]Sheet1!$A$1:$G$108, MATCH(B843,[1]Sheet1!$B:$B,0), 1)</f>
        <v>di-n-Butyl phthalate (DBuP)</v>
      </c>
      <c r="L843" t="str">
        <f>INDEX([1]Sheet1!$A$1:$G$108, MATCH(B843,[1]Sheet1!$B:$B,0), 3)</f>
        <v>weak</v>
      </c>
      <c r="M843" t="s">
        <v>109</v>
      </c>
    </row>
    <row r="844" spans="1:13" x14ac:dyDescent="0.3">
      <c r="A844" t="s">
        <v>95</v>
      </c>
      <c r="B844" t="str">
        <f>_xlfn.TEXTBEFORE(_xlfn.TEXTAFTER(A844,"cas-"),"_")</f>
        <v>84-74-2</v>
      </c>
      <c r="C844" t="s">
        <v>15</v>
      </c>
      <c r="D844" t="s">
        <v>16</v>
      </c>
      <c r="E844" t="s">
        <v>12</v>
      </c>
      <c r="F844">
        <v>-6.72</v>
      </c>
      <c r="G844">
        <v>0.84850000000000003</v>
      </c>
      <c r="H844">
        <v>5.5339999999999998</v>
      </c>
      <c r="I844">
        <v>4.6955989999999996</v>
      </c>
      <c r="K844" t="str">
        <f>INDEX([1]Sheet1!$A$1:$G$108, MATCH(B844,[1]Sheet1!$B:$B,0), 1)</f>
        <v>di-n-Butyl phthalate (DBuP)</v>
      </c>
      <c r="L844" t="str">
        <f>INDEX([1]Sheet1!$A$1:$G$108, MATCH(B844,[1]Sheet1!$B:$B,0), 3)</f>
        <v>weak</v>
      </c>
      <c r="M844" t="s">
        <v>109</v>
      </c>
    </row>
    <row r="845" spans="1:13" x14ac:dyDescent="0.3">
      <c r="A845" t="s">
        <v>95</v>
      </c>
      <c r="B845" t="str">
        <f>_xlfn.TEXTBEFORE(_xlfn.TEXTAFTER(A845,"cas-"),"_")</f>
        <v>84-74-2</v>
      </c>
      <c r="C845" t="s">
        <v>19</v>
      </c>
      <c r="D845" t="s">
        <v>20</v>
      </c>
      <c r="E845" t="s">
        <v>12</v>
      </c>
      <c r="F845">
        <v>-7.04</v>
      </c>
      <c r="G845">
        <v>0.82650000000000001</v>
      </c>
      <c r="H845">
        <v>5.7220000000000004</v>
      </c>
      <c r="I845">
        <v>4.7292330000000007</v>
      </c>
      <c r="K845" t="str">
        <f>INDEX([1]Sheet1!$A$1:$G$108, MATCH(B845,[1]Sheet1!$B:$B,0), 1)</f>
        <v>di-n-Butyl phthalate (DBuP)</v>
      </c>
      <c r="L845" t="str">
        <f>INDEX([1]Sheet1!$A$1:$G$108, MATCH(B845,[1]Sheet1!$B:$B,0), 3)</f>
        <v>weak</v>
      </c>
      <c r="M845" t="s">
        <v>109</v>
      </c>
    </row>
    <row r="846" spans="1:13" x14ac:dyDescent="0.3">
      <c r="A846" t="s">
        <v>95</v>
      </c>
      <c r="B846" t="str">
        <f>_xlfn.TEXTBEFORE(_xlfn.TEXTAFTER(A846,"cas-"),"_")</f>
        <v>84-74-2</v>
      </c>
      <c r="C846" t="s">
        <v>26</v>
      </c>
      <c r="D846" t="s">
        <v>14</v>
      </c>
      <c r="E846" t="s">
        <v>12</v>
      </c>
      <c r="F846">
        <v>-6.43</v>
      </c>
      <c r="G846">
        <v>0.88790000000000002</v>
      </c>
      <c r="H846">
        <v>5.04</v>
      </c>
      <c r="I846">
        <v>4.4750160000000001</v>
      </c>
      <c r="K846" t="str">
        <f>INDEX([1]Sheet1!$A$1:$G$108, MATCH(B846,[1]Sheet1!$B:$B,0), 1)</f>
        <v>di-n-Butyl phthalate (DBuP)</v>
      </c>
      <c r="L846" t="str">
        <f>INDEX([1]Sheet1!$A$1:$G$108, MATCH(B846,[1]Sheet1!$B:$B,0), 3)</f>
        <v>weak</v>
      </c>
      <c r="M846" t="s">
        <v>109</v>
      </c>
    </row>
    <row r="847" spans="1:13" x14ac:dyDescent="0.3">
      <c r="A847" t="s">
        <v>96</v>
      </c>
      <c r="B847" t="str">
        <f>_xlfn.TEXTBEFORE(_xlfn.TEXTAFTER(A847,"cas-"),"_")</f>
        <v>911-45-5</v>
      </c>
      <c r="C847" t="s">
        <v>13</v>
      </c>
      <c r="D847" t="s">
        <v>14</v>
      </c>
      <c r="E847" t="s">
        <v>12</v>
      </c>
      <c r="F847">
        <v>-6.18</v>
      </c>
      <c r="G847">
        <v>0.7208</v>
      </c>
      <c r="H847">
        <v>7.415</v>
      </c>
      <c r="I847">
        <v>5.3447319999999996</v>
      </c>
      <c r="K847" t="str">
        <f>INDEX([1]Sheet1!$A$1:$G$108, MATCH(B847,[1]Sheet1!$B:$B,0), 1)</f>
        <v>Clomiphene</v>
      </c>
      <c r="L847" t="str">
        <f>INDEX([1]Sheet1!$A$1:$G$108, MATCH(B847,[1]Sheet1!$B:$B,0), 3)</f>
        <v>moderate</v>
      </c>
      <c r="M847" t="s">
        <v>109</v>
      </c>
    </row>
    <row r="848" spans="1:13" x14ac:dyDescent="0.3">
      <c r="A848" t="s">
        <v>96</v>
      </c>
      <c r="B848" t="str">
        <f>_xlfn.TEXTBEFORE(_xlfn.TEXTAFTER(A848,"cas-"),"_")</f>
        <v>911-45-5</v>
      </c>
      <c r="C848" t="s">
        <v>26</v>
      </c>
      <c r="D848" t="s">
        <v>14</v>
      </c>
      <c r="E848" t="s">
        <v>12</v>
      </c>
      <c r="F848">
        <v>1.76</v>
      </c>
      <c r="G848">
        <v>0.54620000000000002</v>
      </c>
      <c r="H848">
        <v>7.2149999999999999</v>
      </c>
      <c r="I848">
        <v>3.940833</v>
      </c>
      <c r="K848" t="str">
        <f>INDEX([1]Sheet1!$A$1:$G$108, MATCH(B848,[1]Sheet1!$B:$B,0), 1)</f>
        <v>Clomiphene</v>
      </c>
      <c r="L848" t="str">
        <f>INDEX([1]Sheet1!$A$1:$G$108, MATCH(B848,[1]Sheet1!$B:$B,0), 3)</f>
        <v>moderate</v>
      </c>
      <c r="M848" t="s">
        <v>109</v>
      </c>
    </row>
    <row r="849" spans="1:13" x14ac:dyDescent="0.3">
      <c r="A849" t="s">
        <v>96</v>
      </c>
      <c r="B849" t="str">
        <f>_xlfn.TEXTBEFORE(_xlfn.TEXTAFTER(A849,"cas-"),"_")</f>
        <v>911-45-5</v>
      </c>
      <c r="C849" t="s">
        <v>28</v>
      </c>
      <c r="D849" t="s">
        <v>29</v>
      </c>
      <c r="E849" t="s">
        <v>12</v>
      </c>
      <c r="F849">
        <v>2.3199999999999998</v>
      </c>
      <c r="G849">
        <v>0.72350000000000003</v>
      </c>
      <c r="H849">
        <v>7.109</v>
      </c>
      <c r="I849">
        <v>5.1433615000000001</v>
      </c>
      <c r="K849" t="str">
        <f>INDEX([1]Sheet1!$A$1:$G$108, MATCH(B849,[1]Sheet1!$B:$B,0), 1)</f>
        <v>Clomiphene</v>
      </c>
      <c r="L849" t="str">
        <f>INDEX([1]Sheet1!$A$1:$G$108, MATCH(B849,[1]Sheet1!$B:$B,0), 3)</f>
        <v>moderate</v>
      </c>
      <c r="M849" t="s">
        <v>109</v>
      </c>
    </row>
    <row r="850" spans="1:13" x14ac:dyDescent="0.3">
      <c r="A850" t="s">
        <v>96</v>
      </c>
      <c r="B850" t="str">
        <f>_xlfn.TEXTBEFORE(_xlfn.TEXTAFTER(A850,"cas-"),"_")</f>
        <v>911-45-5</v>
      </c>
      <c r="C850" t="s">
        <v>21</v>
      </c>
      <c r="D850" t="s">
        <v>11</v>
      </c>
      <c r="E850" t="s">
        <v>12</v>
      </c>
      <c r="F850">
        <v>-8.31</v>
      </c>
      <c r="G850">
        <v>0.88119999999999998</v>
      </c>
      <c r="H850">
        <v>7.4960000000000004</v>
      </c>
      <c r="I850">
        <v>6.6054751999999999</v>
      </c>
      <c r="K850" t="str">
        <f>INDEX([1]Sheet1!$A$1:$G$108, MATCH(B850,[1]Sheet1!$B:$B,0), 1)</f>
        <v>Clomiphene</v>
      </c>
      <c r="L850" t="str">
        <f>INDEX([1]Sheet1!$A$1:$G$108, MATCH(B850,[1]Sheet1!$B:$B,0), 3)</f>
        <v>moderate</v>
      </c>
      <c r="M850" t="s">
        <v>109</v>
      </c>
    </row>
    <row r="851" spans="1:13" x14ac:dyDescent="0.3">
      <c r="A851" t="s">
        <v>96</v>
      </c>
      <c r="B851" t="str">
        <f>_xlfn.TEXTBEFORE(_xlfn.TEXTAFTER(A851,"cas-"),"_")</f>
        <v>911-45-5</v>
      </c>
      <c r="C851" t="s">
        <v>15</v>
      </c>
      <c r="D851" t="s">
        <v>16</v>
      </c>
      <c r="E851" t="s">
        <v>12</v>
      </c>
      <c r="F851">
        <v>8.98</v>
      </c>
      <c r="G851">
        <v>0.32</v>
      </c>
      <c r="H851">
        <v>6.9820000000000002</v>
      </c>
      <c r="I851">
        <v>2.2342399999999998</v>
      </c>
      <c r="K851" t="str">
        <f>INDEX([1]Sheet1!$A$1:$G$108, MATCH(B851,[1]Sheet1!$B:$B,0), 1)</f>
        <v>Clomiphene</v>
      </c>
      <c r="L851" t="str">
        <f>INDEX([1]Sheet1!$A$1:$G$108, MATCH(B851,[1]Sheet1!$B:$B,0), 3)</f>
        <v>moderate</v>
      </c>
      <c r="M851" t="s">
        <v>109</v>
      </c>
    </row>
    <row r="852" spans="1:13" x14ac:dyDescent="0.3">
      <c r="A852" t="s">
        <v>96</v>
      </c>
      <c r="B852" t="str">
        <f>_xlfn.TEXTBEFORE(_xlfn.TEXTAFTER(A852,"cas-"),"_")</f>
        <v>911-45-5</v>
      </c>
      <c r="C852" t="s">
        <v>10</v>
      </c>
      <c r="D852" t="s">
        <v>11</v>
      </c>
      <c r="E852" t="s">
        <v>12</v>
      </c>
      <c r="F852">
        <v>8.5299999999999994</v>
      </c>
      <c r="G852">
        <v>0.307</v>
      </c>
      <c r="H852">
        <v>6.6950000000000003</v>
      </c>
      <c r="I852">
        <v>2.0553650000000001</v>
      </c>
      <c r="K852" t="str">
        <f>INDEX([1]Sheet1!$A$1:$G$108, MATCH(B852,[1]Sheet1!$B:$B,0), 1)</f>
        <v>Clomiphene</v>
      </c>
      <c r="L852" t="str">
        <f>INDEX([1]Sheet1!$A$1:$G$108, MATCH(B852,[1]Sheet1!$B:$B,0), 3)</f>
        <v>moderate</v>
      </c>
      <c r="M852" t="s">
        <v>109</v>
      </c>
    </row>
    <row r="853" spans="1:13" x14ac:dyDescent="0.3">
      <c r="A853" t="s">
        <v>96</v>
      </c>
      <c r="B853" t="str">
        <f>_xlfn.TEXTBEFORE(_xlfn.TEXTAFTER(A853,"cas-"),"_")</f>
        <v>911-45-5</v>
      </c>
      <c r="C853" t="s">
        <v>30</v>
      </c>
      <c r="D853" t="s">
        <v>31</v>
      </c>
      <c r="E853" t="s">
        <v>12</v>
      </c>
      <c r="F853">
        <v>7.15</v>
      </c>
      <c r="G853">
        <v>0.56679999999999997</v>
      </c>
      <c r="H853">
        <v>7.367</v>
      </c>
      <c r="I853">
        <v>4.1756156000000004</v>
      </c>
      <c r="K853" t="str">
        <f>INDEX([1]Sheet1!$A$1:$G$108, MATCH(B853,[1]Sheet1!$B:$B,0), 1)</f>
        <v>Clomiphene</v>
      </c>
      <c r="L853" t="str">
        <f>INDEX([1]Sheet1!$A$1:$G$108, MATCH(B853,[1]Sheet1!$B:$B,0), 3)</f>
        <v>moderate</v>
      </c>
      <c r="M853" t="s">
        <v>109</v>
      </c>
    </row>
    <row r="854" spans="1:13" x14ac:dyDescent="0.3">
      <c r="A854" t="s">
        <v>96</v>
      </c>
      <c r="B854" t="str">
        <f>_xlfn.TEXTBEFORE(_xlfn.TEXTAFTER(A854,"cas-"),"_")</f>
        <v>911-45-5</v>
      </c>
      <c r="C854" t="s">
        <v>27</v>
      </c>
      <c r="D854" t="s">
        <v>11</v>
      </c>
      <c r="E854" t="s">
        <v>12</v>
      </c>
      <c r="F854">
        <v>-6.69</v>
      </c>
      <c r="G854">
        <v>0.55389999999999995</v>
      </c>
      <c r="H854">
        <v>7.5250000000000004</v>
      </c>
      <c r="I854">
        <v>4.1680975</v>
      </c>
      <c r="K854" t="str">
        <f>INDEX([1]Sheet1!$A$1:$G$108, MATCH(B854,[1]Sheet1!$B:$B,0), 1)</f>
        <v>Clomiphene</v>
      </c>
      <c r="L854" t="str">
        <f>INDEX([1]Sheet1!$A$1:$G$108, MATCH(B854,[1]Sheet1!$B:$B,0), 3)</f>
        <v>moderate</v>
      </c>
      <c r="M854" t="s">
        <v>109</v>
      </c>
    </row>
    <row r="855" spans="1:13" x14ac:dyDescent="0.3">
      <c r="A855" t="s">
        <v>96</v>
      </c>
      <c r="B855" t="str">
        <f>_xlfn.TEXTBEFORE(_xlfn.TEXTAFTER(A855,"cas-"),"_")</f>
        <v>911-45-5</v>
      </c>
      <c r="C855" t="s">
        <v>22</v>
      </c>
      <c r="D855" t="s">
        <v>23</v>
      </c>
      <c r="E855" t="s">
        <v>12</v>
      </c>
      <c r="F855">
        <v>16.27</v>
      </c>
      <c r="G855">
        <v>0.21990000000000001</v>
      </c>
      <c r="H855">
        <v>6.5839999999999996</v>
      </c>
      <c r="I855">
        <v>1.4478215999999999</v>
      </c>
      <c r="K855" t="str">
        <f>INDEX([1]Sheet1!$A$1:$G$108, MATCH(B855,[1]Sheet1!$B:$B,0), 1)</f>
        <v>Clomiphene</v>
      </c>
      <c r="L855" t="str">
        <f>INDEX([1]Sheet1!$A$1:$G$108, MATCH(B855,[1]Sheet1!$B:$B,0), 3)</f>
        <v>moderate</v>
      </c>
      <c r="M855" t="s">
        <v>109</v>
      </c>
    </row>
    <row r="856" spans="1:13" x14ac:dyDescent="0.3">
      <c r="A856" t="s">
        <v>96</v>
      </c>
      <c r="B856" t="str">
        <f>_xlfn.TEXTBEFORE(_xlfn.TEXTAFTER(A856,"cas-"),"_")</f>
        <v>911-45-5</v>
      </c>
      <c r="C856" t="s">
        <v>18</v>
      </c>
      <c r="D856" t="s">
        <v>11</v>
      </c>
      <c r="E856" t="s">
        <v>12</v>
      </c>
      <c r="F856">
        <v>-7.7</v>
      </c>
      <c r="G856">
        <v>0.75670000000000004</v>
      </c>
      <c r="H856">
        <v>7.3250000000000002</v>
      </c>
      <c r="I856">
        <v>5.5428274999999996</v>
      </c>
      <c r="K856" t="str">
        <f>INDEX([1]Sheet1!$A$1:$G$108, MATCH(B856,[1]Sheet1!$B:$B,0), 1)</f>
        <v>Clomiphene</v>
      </c>
      <c r="L856" t="str">
        <f>INDEX([1]Sheet1!$A$1:$G$108, MATCH(B856,[1]Sheet1!$B:$B,0), 3)</f>
        <v>moderate</v>
      </c>
      <c r="M856" t="s">
        <v>109</v>
      </c>
    </row>
    <row r="857" spans="1:13" x14ac:dyDescent="0.3">
      <c r="A857" t="s">
        <v>96</v>
      </c>
      <c r="B857" t="str">
        <f>_xlfn.TEXTBEFORE(_xlfn.TEXTAFTER(A857,"cas-"),"_")</f>
        <v>911-45-5</v>
      </c>
      <c r="C857" t="s">
        <v>19</v>
      </c>
      <c r="D857" t="s">
        <v>20</v>
      </c>
      <c r="E857" t="s">
        <v>12</v>
      </c>
      <c r="F857">
        <v>21.29</v>
      </c>
      <c r="G857">
        <v>0.3095</v>
      </c>
      <c r="H857">
        <v>7.0179999999999998</v>
      </c>
      <c r="I857">
        <v>2.1720709999999999</v>
      </c>
      <c r="K857" t="str">
        <f>INDEX([1]Sheet1!$A$1:$G$108, MATCH(B857,[1]Sheet1!$B:$B,0), 1)</f>
        <v>Clomiphene</v>
      </c>
      <c r="L857" t="str">
        <f>INDEX([1]Sheet1!$A$1:$G$108, MATCH(B857,[1]Sheet1!$B:$B,0), 3)</f>
        <v>moderate</v>
      </c>
      <c r="M857" t="s">
        <v>109</v>
      </c>
    </row>
    <row r="858" spans="1:13" x14ac:dyDescent="0.3">
      <c r="A858" t="s">
        <v>96</v>
      </c>
      <c r="B858" t="str">
        <f>_xlfn.TEXTBEFORE(_xlfn.TEXTAFTER(A858,"cas-"),"_")</f>
        <v>911-45-5</v>
      </c>
      <c r="C858" t="s">
        <v>17</v>
      </c>
      <c r="D858" t="s">
        <v>11</v>
      </c>
      <c r="E858" t="s">
        <v>12</v>
      </c>
      <c r="F858">
        <v>-1.28</v>
      </c>
      <c r="G858">
        <v>0.4375</v>
      </c>
      <c r="H858">
        <v>7.157</v>
      </c>
      <c r="I858">
        <v>3.1311874999999998</v>
      </c>
      <c r="K858" t="str">
        <f>INDEX([1]Sheet1!$A$1:$G$108, MATCH(B858,[1]Sheet1!$B:$B,0), 1)</f>
        <v>Clomiphene</v>
      </c>
      <c r="L858" t="str">
        <f>INDEX([1]Sheet1!$A$1:$G$108, MATCH(B858,[1]Sheet1!$B:$B,0), 3)</f>
        <v>moderate</v>
      </c>
      <c r="M858" t="s">
        <v>109</v>
      </c>
    </row>
    <row r="859" spans="1:13" x14ac:dyDescent="0.3">
      <c r="A859" t="s">
        <v>96</v>
      </c>
      <c r="B859" t="str">
        <f>_xlfn.TEXTBEFORE(_xlfn.TEXTAFTER(A859,"cas-"),"_")</f>
        <v>911-45-5</v>
      </c>
      <c r="C859" t="s">
        <v>24</v>
      </c>
      <c r="D859" t="s">
        <v>25</v>
      </c>
      <c r="E859" t="s">
        <v>12</v>
      </c>
      <c r="F859">
        <v>-6.36</v>
      </c>
      <c r="G859">
        <v>0.69450000000000001</v>
      </c>
      <c r="H859">
        <v>7.4429999999999996</v>
      </c>
      <c r="I859">
        <v>5.1691634999999998</v>
      </c>
      <c r="K859" t="str">
        <f>INDEX([1]Sheet1!$A$1:$G$108, MATCH(B859,[1]Sheet1!$B:$B,0), 1)</f>
        <v>Clomiphene</v>
      </c>
      <c r="L859" t="str">
        <f>INDEX([1]Sheet1!$A$1:$G$108, MATCH(B859,[1]Sheet1!$B:$B,0), 3)</f>
        <v>moderate</v>
      </c>
      <c r="M859" t="s">
        <v>109</v>
      </c>
    </row>
    <row r="860" spans="1:13" x14ac:dyDescent="0.3">
      <c r="A860" t="s">
        <v>97</v>
      </c>
      <c r="B860" t="str">
        <f>_xlfn.TEXTBEFORE(_xlfn.TEXTAFTER(A860,"cas-"),"_")</f>
        <v>92-04-6</v>
      </c>
      <c r="C860" t="s">
        <v>21</v>
      </c>
      <c r="D860" t="s">
        <v>11</v>
      </c>
      <c r="E860" t="s">
        <v>12</v>
      </c>
      <c r="F860">
        <v>-7.27</v>
      </c>
      <c r="G860">
        <v>0.80210000000000004</v>
      </c>
      <c r="H860">
        <v>5.415</v>
      </c>
      <c r="I860">
        <v>4.3433714999999999</v>
      </c>
      <c r="K860" t="str">
        <f>INDEX([1]Sheet1!$A$1:$G$108, MATCH(B860,[1]Sheet1!$B:$B,0), 1)</f>
        <v>2-Chloro-4-biphenylol</v>
      </c>
      <c r="L860" t="str">
        <f>INDEX([1]Sheet1!$A$1:$G$108, MATCH(B860,[1]Sheet1!$B:$B,0), 3)</f>
        <v>weak</v>
      </c>
      <c r="M860" t="s">
        <v>109</v>
      </c>
    </row>
    <row r="861" spans="1:13" x14ac:dyDescent="0.3">
      <c r="A861" t="s">
        <v>97</v>
      </c>
      <c r="B861" t="str">
        <f>_xlfn.TEXTBEFORE(_xlfn.TEXTAFTER(A861,"cas-"),"_")</f>
        <v>92-04-6</v>
      </c>
      <c r="C861" t="s">
        <v>28</v>
      </c>
      <c r="D861" t="s">
        <v>29</v>
      </c>
      <c r="E861" t="s">
        <v>12</v>
      </c>
      <c r="F861">
        <v>-7.76</v>
      </c>
      <c r="G861">
        <v>0.89610000000000001</v>
      </c>
      <c r="H861">
        <v>5.9950000000000001</v>
      </c>
      <c r="I861">
        <v>5.3721195000000002</v>
      </c>
      <c r="K861" t="str">
        <f>INDEX([1]Sheet1!$A$1:$G$108, MATCH(B861,[1]Sheet1!$B:$B,0), 1)</f>
        <v>2-Chloro-4-biphenylol</v>
      </c>
      <c r="L861" t="str">
        <f>INDEX([1]Sheet1!$A$1:$G$108, MATCH(B861,[1]Sheet1!$B:$B,0), 3)</f>
        <v>weak</v>
      </c>
      <c r="M861" t="s">
        <v>109</v>
      </c>
    </row>
    <row r="862" spans="1:13" x14ac:dyDescent="0.3">
      <c r="A862" t="s">
        <v>97</v>
      </c>
      <c r="B862" t="str">
        <f>_xlfn.TEXTBEFORE(_xlfn.TEXTAFTER(A862,"cas-"),"_")</f>
        <v>92-04-6</v>
      </c>
      <c r="C862" t="s">
        <v>19</v>
      </c>
      <c r="D862" t="s">
        <v>20</v>
      </c>
      <c r="E862" t="s">
        <v>12</v>
      </c>
      <c r="F862">
        <v>-7.71</v>
      </c>
      <c r="G862">
        <v>0.86160000000000003</v>
      </c>
      <c r="H862">
        <v>5.83</v>
      </c>
      <c r="I862">
        <v>5.0231279999999998</v>
      </c>
      <c r="K862" t="str">
        <f>INDEX([1]Sheet1!$A$1:$G$108, MATCH(B862,[1]Sheet1!$B:$B,0), 1)</f>
        <v>2-Chloro-4-biphenylol</v>
      </c>
      <c r="L862" t="str">
        <f>INDEX([1]Sheet1!$A$1:$G$108, MATCH(B862,[1]Sheet1!$B:$B,0), 3)</f>
        <v>weak</v>
      </c>
      <c r="M862" t="s">
        <v>109</v>
      </c>
    </row>
    <row r="863" spans="1:13" x14ac:dyDescent="0.3">
      <c r="A863" t="s">
        <v>97</v>
      </c>
      <c r="B863" t="str">
        <f>_xlfn.TEXTBEFORE(_xlfn.TEXTAFTER(A863,"cas-"),"_")</f>
        <v>92-04-6</v>
      </c>
      <c r="C863" t="s">
        <v>30</v>
      </c>
      <c r="D863" t="s">
        <v>31</v>
      </c>
      <c r="E863" t="s">
        <v>12</v>
      </c>
      <c r="F863">
        <v>-7.38</v>
      </c>
      <c r="G863">
        <v>0.89559999999999995</v>
      </c>
      <c r="H863">
        <v>6.0449999999999999</v>
      </c>
      <c r="I863">
        <v>5.4139019999999993</v>
      </c>
      <c r="K863" t="str">
        <f>INDEX([1]Sheet1!$A$1:$G$108, MATCH(B863,[1]Sheet1!$B:$B,0), 1)</f>
        <v>2-Chloro-4-biphenylol</v>
      </c>
      <c r="L863" t="str">
        <f>INDEX([1]Sheet1!$A$1:$G$108, MATCH(B863,[1]Sheet1!$B:$B,0), 3)</f>
        <v>weak</v>
      </c>
      <c r="M863" t="s">
        <v>109</v>
      </c>
    </row>
    <row r="864" spans="1:13" x14ac:dyDescent="0.3">
      <c r="A864" t="s">
        <v>97</v>
      </c>
      <c r="B864" t="str">
        <f>_xlfn.TEXTBEFORE(_xlfn.TEXTAFTER(A864,"cas-"),"_")</f>
        <v>92-04-6</v>
      </c>
      <c r="C864" t="s">
        <v>26</v>
      </c>
      <c r="D864" t="s">
        <v>14</v>
      </c>
      <c r="E864" t="s">
        <v>12</v>
      </c>
      <c r="F864">
        <v>-7.44</v>
      </c>
      <c r="G864">
        <v>0.86890000000000001</v>
      </c>
      <c r="H864">
        <v>5.9249999999999998</v>
      </c>
      <c r="I864">
        <v>5.1482324999999998</v>
      </c>
      <c r="K864" t="str">
        <f>INDEX([1]Sheet1!$A$1:$G$108, MATCH(B864,[1]Sheet1!$B:$B,0), 1)</f>
        <v>2-Chloro-4-biphenylol</v>
      </c>
      <c r="L864" t="str">
        <f>INDEX([1]Sheet1!$A$1:$G$108, MATCH(B864,[1]Sheet1!$B:$B,0), 3)</f>
        <v>weak</v>
      </c>
      <c r="M864" t="s">
        <v>109</v>
      </c>
    </row>
    <row r="865" spans="1:13" x14ac:dyDescent="0.3">
      <c r="A865" t="s">
        <v>97</v>
      </c>
      <c r="B865" t="str">
        <f>_xlfn.TEXTBEFORE(_xlfn.TEXTAFTER(A865,"cas-"),"_")</f>
        <v>92-04-6</v>
      </c>
      <c r="C865" t="s">
        <v>24</v>
      </c>
      <c r="D865" t="s">
        <v>25</v>
      </c>
      <c r="E865" t="s">
        <v>12</v>
      </c>
      <c r="F865">
        <v>-7.26</v>
      </c>
      <c r="G865">
        <v>0.83309999999999995</v>
      </c>
      <c r="H865">
        <v>5.3920000000000003</v>
      </c>
      <c r="I865">
        <v>4.4920752000000004</v>
      </c>
      <c r="K865" t="str">
        <f>INDEX([1]Sheet1!$A$1:$G$108, MATCH(B865,[1]Sheet1!$B:$B,0), 1)</f>
        <v>2-Chloro-4-biphenylol</v>
      </c>
      <c r="L865" t="str">
        <f>INDEX([1]Sheet1!$A$1:$G$108, MATCH(B865,[1]Sheet1!$B:$B,0), 3)</f>
        <v>weak</v>
      </c>
      <c r="M865" t="s">
        <v>109</v>
      </c>
    </row>
    <row r="866" spans="1:13" x14ac:dyDescent="0.3">
      <c r="A866" t="s">
        <v>97</v>
      </c>
      <c r="B866" t="str">
        <f>_xlfn.TEXTBEFORE(_xlfn.TEXTAFTER(A866,"cas-"),"_")</f>
        <v>92-04-6</v>
      </c>
      <c r="C866" t="s">
        <v>18</v>
      </c>
      <c r="D866" t="s">
        <v>11</v>
      </c>
      <c r="E866" t="s">
        <v>12</v>
      </c>
      <c r="F866">
        <v>-7.7</v>
      </c>
      <c r="G866">
        <v>0.85819999999999996</v>
      </c>
      <c r="H866">
        <v>5.5170000000000003</v>
      </c>
      <c r="I866">
        <v>4.7346893999999997</v>
      </c>
      <c r="K866" t="str">
        <f>INDEX([1]Sheet1!$A$1:$G$108, MATCH(B866,[1]Sheet1!$B:$B,0), 1)</f>
        <v>2-Chloro-4-biphenylol</v>
      </c>
      <c r="L866" t="str">
        <f>INDEX([1]Sheet1!$A$1:$G$108, MATCH(B866,[1]Sheet1!$B:$B,0), 3)</f>
        <v>weak</v>
      </c>
      <c r="M866" t="s">
        <v>109</v>
      </c>
    </row>
    <row r="867" spans="1:13" x14ac:dyDescent="0.3">
      <c r="A867" t="s">
        <v>97</v>
      </c>
      <c r="B867" t="str">
        <f>_xlfn.TEXTBEFORE(_xlfn.TEXTAFTER(A867,"cas-"),"_")</f>
        <v>92-04-6</v>
      </c>
      <c r="C867" t="s">
        <v>17</v>
      </c>
      <c r="D867" t="s">
        <v>11</v>
      </c>
      <c r="E867" t="s">
        <v>12</v>
      </c>
      <c r="F867">
        <v>-7.73</v>
      </c>
      <c r="G867">
        <v>0.89219999999999999</v>
      </c>
      <c r="H867">
        <v>5.9560000000000004</v>
      </c>
      <c r="I867">
        <v>5.3139432000000006</v>
      </c>
      <c r="K867" t="str">
        <f>INDEX([1]Sheet1!$A$1:$G$108, MATCH(B867,[1]Sheet1!$B:$B,0), 1)</f>
        <v>2-Chloro-4-biphenylol</v>
      </c>
      <c r="L867" t="str">
        <f>INDEX([1]Sheet1!$A$1:$G$108, MATCH(B867,[1]Sheet1!$B:$B,0), 3)</f>
        <v>weak</v>
      </c>
      <c r="M867" t="s">
        <v>109</v>
      </c>
    </row>
    <row r="868" spans="1:13" x14ac:dyDescent="0.3">
      <c r="A868" t="s">
        <v>97</v>
      </c>
      <c r="B868" t="str">
        <f>_xlfn.TEXTBEFORE(_xlfn.TEXTAFTER(A868,"cas-"),"_")</f>
        <v>92-04-6</v>
      </c>
      <c r="C868" t="s">
        <v>10</v>
      </c>
      <c r="D868" t="s">
        <v>11</v>
      </c>
      <c r="E868" t="s">
        <v>12</v>
      </c>
      <c r="F868">
        <v>-7.39</v>
      </c>
      <c r="G868">
        <v>0.86899999999999999</v>
      </c>
      <c r="H868">
        <v>5.774</v>
      </c>
      <c r="I868">
        <v>5.0176059999999998</v>
      </c>
      <c r="K868" t="str">
        <f>INDEX([1]Sheet1!$A$1:$G$108, MATCH(B868,[1]Sheet1!$B:$B,0), 1)</f>
        <v>2-Chloro-4-biphenylol</v>
      </c>
      <c r="L868" t="str">
        <f>INDEX([1]Sheet1!$A$1:$G$108, MATCH(B868,[1]Sheet1!$B:$B,0), 3)</f>
        <v>weak</v>
      </c>
      <c r="M868" t="s">
        <v>109</v>
      </c>
    </row>
    <row r="869" spans="1:13" x14ac:dyDescent="0.3">
      <c r="A869" t="s">
        <v>97</v>
      </c>
      <c r="B869" t="str">
        <f>_xlfn.TEXTBEFORE(_xlfn.TEXTAFTER(A869,"cas-"),"_")</f>
        <v>92-04-6</v>
      </c>
      <c r="C869" t="s">
        <v>15</v>
      </c>
      <c r="D869" t="s">
        <v>16</v>
      </c>
      <c r="E869" t="s">
        <v>12</v>
      </c>
      <c r="F869">
        <v>-7.45</v>
      </c>
      <c r="G869">
        <v>0.83079999999999998</v>
      </c>
      <c r="H869">
        <v>5.53</v>
      </c>
      <c r="I869">
        <v>4.5943240000000003</v>
      </c>
      <c r="K869" t="str">
        <f>INDEX([1]Sheet1!$A$1:$G$108, MATCH(B869,[1]Sheet1!$B:$B,0), 1)</f>
        <v>2-Chloro-4-biphenylol</v>
      </c>
      <c r="L869" t="str">
        <f>INDEX([1]Sheet1!$A$1:$G$108, MATCH(B869,[1]Sheet1!$B:$B,0), 3)</f>
        <v>weak</v>
      </c>
      <c r="M869" t="s">
        <v>109</v>
      </c>
    </row>
    <row r="870" spans="1:13" x14ac:dyDescent="0.3">
      <c r="A870" t="s">
        <v>97</v>
      </c>
      <c r="B870" t="str">
        <f>_xlfn.TEXTBEFORE(_xlfn.TEXTAFTER(A870,"cas-"),"_")</f>
        <v>92-04-6</v>
      </c>
      <c r="C870" t="s">
        <v>27</v>
      </c>
      <c r="D870" t="s">
        <v>11</v>
      </c>
      <c r="E870" t="s">
        <v>12</v>
      </c>
      <c r="F870">
        <v>-8.35</v>
      </c>
      <c r="G870">
        <v>0.92420000000000002</v>
      </c>
      <c r="H870">
        <v>6.0069999999999997</v>
      </c>
      <c r="I870">
        <v>5.5516693999999998</v>
      </c>
      <c r="K870" t="str">
        <f>INDEX([1]Sheet1!$A$1:$G$108, MATCH(B870,[1]Sheet1!$B:$B,0), 1)</f>
        <v>2-Chloro-4-biphenylol</v>
      </c>
      <c r="L870" t="str">
        <f>INDEX([1]Sheet1!$A$1:$G$108, MATCH(B870,[1]Sheet1!$B:$B,0), 3)</f>
        <v>weak</v>
      </c>
      <c r="M870" t="s">
        <v>109</v>
      </c>
    </row>
    <row r="871" spans="1:13" x14ac:dyDescent="0.3">
      <c r="A871" t="s">
        <v>97</v>
      </c>
      <c r="B871" t="str">
        <f>_xlfn.TEXTBEFORE(_xlfn.TEXTAFTER(A871,"cas-"),"_")</f>
        <v>92-04-6</v>
      </c>
      <c r="C871" t="s">
        <v>13</v>
      </c>
      <c r="D871" t="s">
        <v>14</v>
      </c>
      <c r="E871" t="s">
        <v>12</v>
      </c>
      <c r="F871">
        <v>-7.61</v>
      </c>
      <c r="G871">
        <v>0.86650000000000005</v>
      </c>
      <c r="H871">
        <v>6.0090000000000003</v>
      </c>
      <c r="I871">
        <v>5.2067985000000014</v>
      </c>
      <c r="K871" t="str">
        <f>INDEX([1]Sheet1!$A$1:$G$108, MATCH(B871,[1]Sheet1!$B:$B,0), 1)</f>
        <v>2-Chloro-4-biphenylol</v>
      </c>
      <c r="L871" t="str">
        <f>INDEX([1]Sheet1!$A$1:$G$108, MATCH(B871,[1]Sheet1!$B:$B,0), 3)</f>
        <v>weak</v>
      </c>
      <c r="M871" t="s">
        <v>109</v>
      </c>
    </row>
    <row r="872" spans="1:13" x14ac:dyDescent="0.3">
      <c r="A872" t="s">
        <v>97</v>
      </c>
      <c r="B872" t="str">
        <f>_xlfn.TEXTBEFORE(_xlfn.TEXTAFTER(A872,"cas-"),"_")</f>
        <v>92-04-6</v>
      </c>
      <c r="C872" t="s">
        <v>22</v>
      </c>
      <c r="D872" t="s">
        <v>23</v>
      </c>
      <c r="E872" t="s">
        <v>12</v>
      </c>
      <c r="F872">
        <v>-6.63</v>
      </c>
      <c r="G872">
        <v>0.8397</v>
      </c>
      <c r="H872">
        <v>6.0250000000000004</v>
      </c>
      <c r="I872">
        <v>5.0591925</v>
      </c>
      <c r="K872" t="str">
        <f>INDEX([1]Sheet1!$A$1:$G$108, MATCH(B872,[1]Sheet1!$B:$B,0), 1)</f>
        <v>2-Chloro-4-biphenylol</v>
      </c>
      <c r="L872" t="str">
        <f>INDEX([1]Sheet1!$A$1:$G$108, MATCH(B872,[1]Sheet1!$B:$B,0), 3)</f>
        <v>weak</v>
      </c>
      <c r="M872" t="s">
        <v>109</v>
      </c>
    </row>
    <row r="873" spans="1:13" x14ac:dyDescent="0.3">
      <c r="A873" t="s">
        <v>98</v>
      </c>
      <c r="B873" t="str">
        <f>_xlfn.TEXTBEFORE(_xlfn.TEXTAFTER(A873,"cas-"),"_")</f>
        <v>94-13-3</v>
      </c>
      <c r="C873" t="s">
        <v>27</v>
      </c>
      <c r="D873" t="s">
        <v>11</v>
      </c>
      <c r="E873" t="s">
        <v>12</v>
      </c>
      <c r="F873">
        <v>-6.45</v>
      </c>
      <c r="G873">
        <v>0.92820000000000003</v>
      </c>
      <c r="H873">
        <v>5.95</v>
      </c>
      <c r="I873">
        <v>5.5227900000000014</v>
      </c>
      <c r="K873" t="str">
        <f>INDEX([1]Sheet1!$A$1:$G$108, MATCH(B873,[1]Sheet1!$B:$B,0), 1)</f>
        <v>n-Propyl 4-hydroxybenzoate</v>
      </c>
      <c r="L873" t="str">
        <f>INDEX([1]Sheet1!$A$1:$G$108, MATCH(B873,[1]Sheet1!$B:$B,0), 3)</f>
        <v>weak</v>
      </c>
      <c r="M873" t="s">
        <v>109</v>
      </c>
    </row>
    <row r="874" spans="1:13" x14ac:dyDescent="0.3">
      <c r="A874" t="s">
        <v>98</v>
      </c>
      <c r="B874" t="str">
        <f>_xlfn.TEXTBEFORE(_xlfn.TEXTAFTER(A874,"cas-"),"_")</f>
        <v>94-13-3</v>
      </c>
      <c r="C874" t="s">
        <v>15</v>
      </c>
      <c r="D874" t="s">
        <v>16</v>
      </c>
      <c r="E874" t="s">
        <v>12</v>
      </c>
      <c r="F874">
        <v>-6.58</v>
      </c>
      <c r="G874">
        <v>0.89639999999999997</v>
      </c>
      <c r="H874">
        <v>5.42</v>
      </c>
      <c r="I874">
        <v>4.8584879999999986</v>
      </c>
      <c r="K874" t="str">
        <f>INDEX([1]Sheet1!$A$1:$G$108, MATCH(B874,[1]Sheet1!$B:$B,0), 1)</f>
        <v>n-Propyl 4-hydroxybenzoate</v>
      </c>
      <c r="L874" t="str">
        <f>INDEX([1]Sheet1!$A$1:$G$108, MATCH(B874,[1]Sheet1!$B:$B,0), 3)</f>
        <v>weak</v>
      </c>
      <c r="M874" t="s">
        <v>109</v>
      </c>
    </row>
    <row r="875" spans="1:13" x14ac:dyDescent="0.3">
      <c r="A875" t="s">
        <v>98</v>
      </c>
      <c r="B875" t="str">
        <f>_xlfn.TEXTBEFORE(_xlfn.TEXTAFTER(A875,"cas-"),"_")</f>
        <v>94-13-3</v>
      </c>
      <c r="C875" t="s">
        <v>18</v>
      </c>
      <c r="D875" t="s">
        <v>11</v>
      </c>
      <c r="E875" t="s">
        <v>12</v>
      </c>
      <c r="F875">
        <v>-6.26</v>
      </c>
      <c r="G875">
        <v>0.90469999999999995</v>
      </c>
      <c r="H875">
        <v>5.5330000000000004</v>
      </c>
      <c r="I875">
        <v>5.0057051000000001</v>
      </c>
      <c r="K875" t="str">
        <f>INDEX([1]Sheet1!$A$1:$G$108, MATCH(B875,[1]Sheet1!$B:$B,0), 1)</f>
        <v>n-Propyl 4-hydroxybenzoate</v>
      </c>
      <c r="L875" t="str">
        <f>INDEX([1]Sheet1!$A$1:$G$108, MATCH(B875,[1]Sheet1!$B:$B,0), 3)</f>
        <v>weak</v>
      </c>
      <c r="M875" t="s">
        <v>109</v>
      </c>
    </row>
    <row r="876" spans="1:13" x14ac:dyDescent="0.3">
      <c r="A876" t="s">
        <v>98</v>
      </c>
      <c r="B876" t="str">
        <f>_xlfn.TEXTBEFORE(_xlfn.TEXTAFTER(A876,"cas-"),"_")</f>
        <v>94-13-3</v>
      </c>
      <c r="C876" t="s">
        <v>10</v>
      </c>
      <c r="D876" t="s">
        <v>11</v>
      </c>
      <c r="E876" t="s">
        <v>12</v>
      </c>
      <c r="F876">
        <v>-6.37</v>
      </c>
      <c r="G876">
        <v>0.92659999999999998</v>
      </c>
      <c r="H876">
        <v>5.4829999999999997</v>
      </c>
      <c r="I876">
        <v>5.0805477999999997</v>
      </c>
      <c r="K876" t="str">
        <f>INDEX([1]Sheet1!$A$1:$G$108, MATCH(B876,[1]Sheet1!$B:$B,0), 1)</f>
        <v>n-Propyl 4-hydroxybenzoate</v>
      </c>
      <c r="L876" t="str">
        <f>INDEX([1]Sheet1!$A$1:$G$108, MATCH(B876,[1]Sheet1!$B:$B,0), 3)</f>
        <v>weak</v>
      </c>
      <c r="M876" t="s">
        <v>109</v>
      </c>
    </row>
    <row r="877" spans="1:13" x14ac:dyDescent="0.3">
      <c r="A877" t="s">
        <v>98</v>
      </c>
      <c r="B877" t="str">
        <f>_xlfn.TEXTBEFORE(_xlfn.TEXTAFTER(A877,"cas-"),"_")</f>
        <v>94-13-3</v>
      </c>
      <c r="C877" t="s">
        <v>19</v>
      </c>
      <c r="D877" t="s">
        <v>20</v>
      </c>
      <c r="E877" t="s">
        <v>12</v>
      </c>
      <c r="F877">
        <v>-6.39</v>
      </c>
      <c r="G877">
        <v>0.90980000000000005</v>
      </c>
      <c r="H877">
        <v>5.4690000000000003</v>
      </c>
      <c r="I877">
        <v>4.9756962000000007</v>
      </c>
      <c r="K877" t="str">
        <f>INDEX([1]Sheet1!$A$1:$G$108, MATCH(B877,[1]Sheet1!$B:$B,0), 1)</f>
        <v>n-Propyl 4-hydroxybenzoate</v>
      </c>
      <c r="L877" t="str">
        <f>INDEX([1]Sheet1!$A$1:$G$108, MATCH(B877,[1]Sheet1!$B:$B,0), 3)</f>
        <v>weak</v>
      </c>
      <c r="M877" t="s">
        <v>109</v>
      </c>
    </row>
    <row r="878" spans="1:13" x14ac:dyDescent="0.3">
      <c r="A878" t="s">
        <v>98</v>
      </c>
      <c r="B878" t="str">
        <f>_xlfn.TEXTBEFORE(_xlfn.TEXTAFTER(A878,"cas-"),"_")</f>
        <v>94-13-3</v>
      </c>
      <c r="C878" t="s">
        <v>28</v>
      </c>
      <c r="D878" t="s">
        <v>29</v>
      </c>
      <c r="E878" t="s">
        <v>12</v>
      </c>
      <c r="F878">
        <v>-6.32</v>
      </c>
      <c r="G878">
        <v>0.91439999999999999</v>
      </c>
      <c r="H878">
        <v>4.9489999999999998</v>
      </c>
      <c r="I878">
        <v>4.5253655999999998</v>
      </c>
      <c r="K878" t="str">
        <f>INDEX([1]Sheet1!$A$1:$G$108, MATCH(B878,[1]Sheet1!$B:$B,0), 1)</f>
        <v>n-Propyl 4-hydroxybenzoate</v>
      </c>
      <c r="L878" t="str">
        <f>INDEX([1]Sheet1!$A$1:$G$108, MATCH(B878,[1]Sheet1!$B:$B,0), 3)</f>
        <v>weak</v>
      </c>
      <c r="M878" t="s">
        <v>109</v>
      </c>
    </row>
    <row r="879" spans="1:13" x14ac:dyDescent="0.3">
      <c r="A879" t="s">
        <v>98</v>
      </c>
      <c r="B879" t="str">
        <f>_xlfn.TEXTBEFORE(_xlfn.TEXTAFTER(A879,"cas-"),"_")</f>
        <v>94-13-3</v>
      </c>
      <c r="C879" t="s">
        <v>17</v>
      </c>
      <c r="D879" t="s">
        <v>11</v>
      </c>
      <c r="E879" t="s">
        <v>12</v>
      </c>
      <c r="F879">
        <v>-6.28</v>
      </c>
      <c r="G879">
        <v>0.9073</v>
      </c>
      <c r="H879">
        <v>5.681</v>
      </c>
      <c r="I879">
        <v>5.1543713000000002</v>
      </c>
      <c r="K879" t="str">
        <f>INDEX([1]Sheet1!$A$1:$G$108, MATCH(B879,[1]Sheet1!$B:$B,0), 1)</f>
        <v>n-Propyl 4-hydroxybenzoate</v>
      </c>
      <c r="L879" t="str">
        <f>INDEX([1]Sheet1!$A$1:$G$108, MATCH(B879,[1]Sheet1!$B:$B,0), 3)</f>
        <v>weak</v>
      </c>
      <c r="M879" t="s">
        <v>109</v>
      </c>
    </row>
    <row r="880" spans="1:13" x14ac:dyDescent="0.3">
      <c r="A880" t="s">
        <v>98</v>
      </c>
      <c r="B880" t="str">
        <f>_xlfn.TEXTBEFORE(_xlfn.TEXTAFTER(A880,"cas-"),"_")</f>
        <v>94-13-3</v>
      </c>
      <c r="C880" t="s">
        <v>13</v>
      </c>
      <c r="D880" t="s">
        <v>14</v>
      </c>
      <c r="E880" t="s">
        <v>12</v>
      </c>
      <c r="F880">
        <v>-6.31</v>
      </c>
      <c r="G880">
        <v>0.93240000000000001</v>
      </c>
      <c r="H880">
        <v>5.4260000000000002</v>
      </c>
      <c r="I880">
        <v>5.0592024000000002</v>
      </c>
      <c r="K880" t="str">
        <f>INDEX([1]Sheet1!$A$1:$G$108, MATCH(B880,[1]Sheet1!$B:$B,0), 1)</f>
        <v>n-Propyl 4-hydroxybenzoate</v>
      </c>
      <c r="L880" t="str">
        <f>INDEX([1]Sheet1!$A$1:$G$108, MATCH(B880,[1]Sheet1!$B:$B,0), 3)</f>
        <v>weak</v>
      </c>
      <c r="M880" t="s">
        <v>109</v>
      </c>
    </row>
    <row r="881" spans="1:13" x14ac:dyDescent="0.3">
      <c r="A881" t="s">
        <v>98</v>
      </c>
      <c r="B881" t="str">
        <f>_xlfn.TEXTBEFORE(_xlfn.TEXTAFTER(A881,"cas-"),"_")</f>
        <v>94-13-3</v>
      </c>
      <c r="C881" t="s">
        <v>30</v>
      </c>
      <c r="D881" t="s">
        <v>31</v>
      </c>
      <c r="E881" t="s">
        <v>12</v>
      </c>
      <c r="F881">
        <v>-5.54</v>
      </c>
      <c r="G881">
        <v>0.90920000000000001</v>
      </c>
      <c r="H881">
        <v>5.7889999999999997</v>
      </c>
      <c r="I881">
        <v>5.2633587999999998</v>
      </c>
      <c r="K881" t="str">
        <f>INDEX([1]Sheet1!$A$1:$G$108, MATCH(B881,[1]Sheet1!$B:$B,0), 1)</f>
        <v>n-Propyl 4-hydroxybenzoate</v>
      </c>
      <c r="L881" t="str">
        <f>INDEX([1]Sheet1!$A$1:$G$108, MATCH(B881,[1]Sheet1!$B:$B,0), 3)</f>
        <v>weak</v>
      </c>
      <c r="M881" t="s">
        <v>109</v>
      </c>
    </row>
    <row r="882" spans="1:13" x14ac:dyDescent="0.3">
      <c r="A882" t="s">
        <v>98</v>
      </c>
      <c r="B882" t="str">
        <f>_xlfn.TEXTBEFORE(_xlfn.TEXTAFTER(A882,"cas-"),"_")</f>
        <v>94-13-3</v>
      </c>
      <c r="C882" t="s">
        <v>21</v>
      </c>
      <c r="D882" t="s">
        <v>11</v>
      </c>
      <c r="E882" t="s">
        <v>12</v>
      </c>
      <c r="F882">
        <v>-6.25</v>
      </c>
      <c r="G882">
        <v>0.91759999999999997</v>
      </c>
      <c r="H882">
        <v>5.1539999999999999</v>
      </c>
      <c r="I882">
        <v>4.7293104000000001</v>
      </c>
      <c r="K882" t="str">
        <f>INDEX([1]Sheet1!$A$1:$G$108, MATCH(B882,[1]Sheet1!$B:$B,0), 1)</f>
        <v>n-Propyl 4-hydroxybenzoate</v>
      </c>
      <c r="L882" t="str">
        <f>INDEX([1]Sheet1!$A$1:$G$108, MATCH(B882,[1]Sheet1!$B:$B,0), 3)</f>
        <v>weak</v>
      </c>
      <c r="M882" t="s">
        <v>109</v>
      </c>
    </row>
    <row r="883" spans="1:13" x14ac:dyDescent="0.3">
      <c r="A883" t="s">
        <v>98</v>
      </c>
      <c r="B883" t="str">
        <f>_xlfn.TEXTBEFORE(_xlfn.TEXTAFTER(A883,"cas-"),"_")</f>
        <v>94-13-3</v>
      </c>
      <c r="C883" t="s">
        <v>26</v>
      </c>
      <c r="D883" t="s">
        <v>14</v>
      </c>
      <c r="E883" t="s">
        <v>12</v>
      </c>
      <c r="F883">
        <v>-6.3</v>
      </c>
      <c r="G883">
        <v>0.93610000000000004</v>
      </c>
      <c r="H883">
        <v>5.5720000000000001</v>
      </c>
      <c r="I883">
        <v>5.2159492000000007</v>
      </c>
      <c r="K883" t="str">
        <f>INDEX([1]Sheet1!$A$1:$G$108, MATCH(B883,[1]Sheet1!$B:$B,0), 1)</f>
        <v>n-Propyl 4-hydroxybenzoate</v>
      </c>
      <c r="L883" t="str">
        <f>INDEX([1]Sheet1!$A$1:$G$108, MATCH(B883,[1]Sheet1!$B:$B,0), 3)</f>
        <v>weak</v>
      </c>
      <c r="M883" t="s">
        <v>109</v>
      </c>
    </row>
    <row r="884" spans="1:13" x14ac:dyDescent="0.3">
      <c r="A884" t="s">
        <v>98</v>
      </c>
      <c r="B884" t="str">
        <f>_xlfn.TEXTBEFORE(_xlfn.TEXTAFTER(A884,"cas-"),"_")</f>
        <v>94-13-3</v>
      </c>
      <c r="C884" t="s">
        <v>24</v>
      </c>
      <c r="D884" t="s">
        <v>25</v>
      </c>
      <c r="E884" t="s">
        <v>12</v>
      </c>
      <c r="F884">
        <v>-6.42</v>
      </c>
      <c r="G884">
        <v>0.879</v>
      </c>
      <c r="H884">
        <v>5.633</v>
      </c>
      <c r="I884">
        <v>4.9514069999999997</v>
      </c>
      <c r="K884" t="str">
        <f>INDEX([1]Sheet1!$A$1:$G$108, MATCH(B884,[1]Sheet1!$B:$B,0), 1)</f>
        <v>n-Propyl 4-hydroxybenzoate</v>
      </c>
      <c r="L884" t="str">
        <f>INDEX([1]Sheet1!$A$1:$G$108, MATCH(B884,[1]Sheet1!$B:$B,0), 3)</f>
        <v>weak</v>
      </c>
      <c r="M884" t="s">
        <v>109</v>
      </c>
    </row>
    <row r="885" spans="1:13" x14ac:dyDescent="0.3">
      <c r="A885" t="s">
        <v>98</v>
      </c>
      <c r="B885" t="str">
        <f>_xlfn.TEXTBEFORE(_xlfn.TEXTAFTER(A885,"cas-"),"_")</f>
        <v>94-13-3</v>
      </c>
      <c r="C885" t="s">
        <v>22</v>
      </c>
      <c r="D885" t="s">
        <v>23</v>
      </c>
      <c r="E885" t="s">
        <v>12</v>
      </c>
      <c r="F885">
        <v>-6.23</v>
      </c>
      <c r="G885">
        <v>0.92159999999999997</v>
      </c>
      <c r="H885">
        <v>5.4279999999999999</v>
      </c>
      <c r="I885">
        <v>5.0024448000000001</v>
      </c>
      <c r="K885" t="str">
        <f>INDEX([1]Sheet1!$A$1:$G$108, MATCH(B885,[1]Sheet1!$B:$B,0), 1)</f>
        <v>n-Propyl 4-hydroxybenzoate</v>
      </c>
      <c r="L885" t="str">
        <f>INDEX([1]Sheet1!$A$1:$G$108, MATCH(B885,[1]Sheet1!$B:$B,0), 3)</f>
        <v>weak</v>
      </c>
      <c r="M885" t="s">
        <v>109</v>
      </c>
    </row>
    <row r="886" spans="1:13" x14ac:dyDescent="0.3">
      <c r="A886" t="s">
        <v>99</v>
      </c>
      <c r="B886" t="str">
        <f>_xlfn.TEXTBEFORE(_xlfn.TEXTAFTER(A886,"cas-"),"_")</f>
        <v>94-18-8</v>
      </c>
      <c r="C886" t="s">
        <v>18</v>
      </c>
      <c r="D886" t="s">
        <v>11</v>
      </c>
      <c r="E886" t="s">
        <v>12</v>
      </c>
      <c r="F886">
        <v>-7.77</v>
      </c>
      <c r="G886">
        <v>0.89659999999999995</v>
      </c>
      <c r="H886">
        <v>6.4630000000000001</v>
      </c>
      <c r="I886">
        <v>5.7947258000000001</v>
      </c>
      <c r="K886" t="str">
        <f>INDEX([1]Sheet1!$A$1:$G$108, MATCH(B886,[1]Sheet1!$B:$B,0), 1)</f>
        <v>Benzyl 4-hydroxybenzoate</v>
      </c>
      <c r="L886" t="str">
        <f>INDEX([1]Sheet1!$A$1:$G$108, MATCH(B886,[1]Sheet1!$B:$B,0), 3)</f>
        <v>weak</v>
      </c>
      <c r="M886" t="s">
        <v>109</v>
      </c>
    </row>
    <row r="887" spans="1:13" x14ac:dyDescent="0.3">
      <c r="A887" t="s">
        <v>99</v>
      </c>
      <c r="B887" t="str">
        <f>_xlfn.TEXTBEFORE(_xlfn.TEXTAFTER(A887,"cas-"),"_")</f>
        <v>94-18-8</v>
      </c>
      <c r="C887" t="s">
        <v>21</v>
      </c>
      <c r="D887" t="s">
        <v>11</v>
      </c>
      <c r="E887" t="s">
        <v>12</v>
      </c>
      <c r="F887">
        <v>-7.55</v>
      </c>
      <c r="G887">
        <v>0.86860000000000004</v>
      </c>
      <c r="H887">
        <v>6.7380000000000004</v>
      </c>
      <c r="I887">
        <v>5.8526268000000004</v>
      </c>
      <c r="K887" t="str">
        <f>INDEX([1]Sheet1!$A$1:$G$108, MATCH(B887,[1]Sheet1!$B:$B,0), 1)</f>
        <v>Benzyl 4-hydroxybenzoate</v>
      </c>
      <c r="L887" t="str">
        <f>INDEX([1]Sheet1!$A$1:$G$108, MATCH(B887,[1]Sheet1!$B:$B,0), 3)</f>
        <v>weak</v>
      </c>
      <c r="M887" t="s">
        <v>109</v>
      </c>
    </row>
    <row r="888" spans="1:13" x14ac:dyDescent="0.3">
      <c r="A888" t="s">
        <v>99</v>
      </c>
      <c r="B888" t="str">
        <f>_xlfn.TEXTBEFORE(_xlfn.TEXTAFTER(A888,"cas-"),"_")</f>
        <v>94-18-8</v>
      </c>
      <c r="C888" t="s">
        <v>19</v>
      </c>
      <c r="D888" t="s">
        <v>20</v>
      </c>
      <c r="E888" t="s">
        <v>12</v>
      </c>
      <c r="F888">
        <v>-7.52</v>
      </c>
      <c r="G888">
        <v>0.8931</v>
      </c>
      <c r="H888">
        <v>6.2750000000000004</v>
      </c>
      <c r="I888">
        <v>5.6042025000000004</v>
      </c>
      <c r="K888" t="str">
        <f>INDEX([1]Sheet1!$A$1:$G$108, MATCH(B888,[1]Sheet1!$B:$B,0), 1)</f>
        <v>Benzyl 4-hydroxybenzoate</v>
      </c>
      <c r="L888" t="str">
        <f>INDEX([1]Sheet1!$A$1:$G$108, MATCH(B888,[1]Sheet1!$B:$B,0), 3)</f>
        <v>weak</v>
      </c>
      <c r="M888" t="s">
        <v>109</v>
      </c>
    </row>
    <row r="889" spans="1:13" x14ac:dyDescent="0.3">
      <c r="A889" t="s">
        <v>99</v>
      </c>
      <c r="B889" t="str">
        <f>_xlfn.TEXTBEFORE(_xlfn.TEXTAFTER(A889,"cas-"),"_")</f>
        <v>94-18-8</v>
      </c>
      <c r="C889" t="s">
        <v>22</v>
      </c>
      <c r="D889" t="s">
        <v>23</v>
      </c>
      <c r="E889" t="s">
        <v>12</v>
      </c>
      <c r="F889">
        <v>-7.35</v>
      </c>
      <c r="G889">
        <v>0.8639</v>
      </c>
      <c r="H889">
        <v>6.415</v>
      </c>
      <c r="I889">
        <v>5.5419185000000004</v>
      </c>
      <c r="K889" t="str">
        <f>INDEX([1]Sheet1!$A$1:$G$108, MATCH(B889,[1]Sheet1!$B:$B,0), 1)</f>
        <v>Benzyl 4-hydroxybenzoate</v>
      </c>
      <c r="L889" t="str">
        <f>INDEX([1]Sheet1!$A$1:$G$108, MATCH(B889,[1]Sheet1!$B:$B,0), 3)</f>
        <v>weak</v>
      </c>
      <c r="M889" t="s">
        <v>109</v>
      </c>
    </row>
    <row r="890" spans="1:13" x14ac:dyDescent="0.3">
      <c r="A890" t="s">
        <v>99</v>
      </c>
      <c r="B890" t="str">
        <f>_xlfn.TEXTBEFORE(_xlfn.TEXTAFTER(A890,"cas-"),"_")</f>
        <v>94-18-8</v>
      </c>
      <c r="C890" t="s">
        <v>24</v>
      </c>
      <c r="D890" t="s">
        <v>25</v>
      </c>
      <c r="E890" t="s">
        <v>12</v>
      </c>
      <c r="F890">
        <v>-7.26</v>
      </c>
      <c r="G890">
        <v>0.81699999999999995</v>
      </c>
      <c r="H890">
        <v>6.4489999999999998</v>
      </c>
      <c r="I890">
        <v>5.2688329999999999</v>
      </c>
      <c r="K890" t="str">
        <f>INDEX([1]Sheet1!$A$1:$G$108, MATCH(B890,[1]Sheet1!$B:$B,0), 1)</f>
        <v>Benzyl 4-hydroxybenzoate</v>
      </c>
      <c r="L890" t="str">
        <f>INDEX([1]Sheet1!$A$1:$G$108, MATCH(B890,[1]Sheet1!$B:$B,0), 3)</f>
        <v>weak</v>
      </c>
      <c r="M890" t="s">
        <v>109</v>
      </c>
    </row>
    <row r="891" spans="1:13" x14ac:dyDescent="0.3">
      <c r="A891" t="s">
        <v>99</v>
      </c>
      <c r="B891" t="str">
        <f>_xlfn.TEXTBEFORE(_xlfn.TEXTAFTER(A891,"cas-"),"_")</f>
        <v>94-18-8</v>
      </c>
      <c r="C891" t="s">
        <v>28</v>
      </c>
      <c r="D891" t="s">
        <v>29</v>
      </c>
      <c r="E891" t="s">
        <v>12</v>
      </c>
      <c r="F891">
        <v>-7.54</v>
      </c>
      <c r="G891">
        <v>0.92520000000000002</v>
      </c>
      <c r="H891">
        <v>6.3869999999999996</v>
      </c>
      <c r="I891">
        <v>5.9092523999999997</v>
      </c>
      <c r="K891" t="str">
        <f>INDEX([1]Sheet1!$A$1:$G$108, MATCH(B891,[1]Sheet1!$B:$B,0), 1)</f>
        <v>Benzyl 4-hydroxybenzoate</v>
      </c>
      <c r="L891" t="str">
        <f>INDEX([1]Sheet1!$A$1:$G$108, MATCH(B891,[1]Sheet1!$B:$B,0), 3)</f>
        <v>weak</v>
      </c>
      <c r="M891" t="s">
        <v>109</v>
      </c>
    </row>
    <row r="892" spans="1:13" x14ac:dyDescent="0.3">
      <c r="A892" t="s">
        <v>99</v>
      </c>
      <c r="B892" t="str">
        <f>_xlfn.TEXTBEFORE(_xlfn.TEXTAFTER(A892,"cas-"),"_")</f>
        <v>94-18-8</v>
      </c>
      <c r="C892" t="s">
        <v>30</v>
      </c>
      <c r="D892" t="s">
        <v>31</v>
      </c>
      <c r="E892" t="s">
        <v>12</v>
      </c>
      <c r="F892">
        <v>-7.4</v>
      </c>
      <c r="G892">
        <v>0.91510000000000002</v>
      </c>
      <c r="H892">
        <v>6.3220000000000001</v>
      </c>
      <c r="I892">
        <v>5.7852622</v>
      </c>
      <c r="K892" t="str">
        <f>INDEX([1]Sheet1!$A$1:$G$108, MATCH(B892,[1]Sheet1!$B:$B,0), 1)</f>
        <v>Benzyl 4-hydroxybenzoate</v>
      </c>
      <c r="L892" t="str">
        <f>INDEX([1]Sheet1!$A$1:$G$108, MATCH(B892,[1]Sheet1!$B:$B,0), 3)</f>
        <v>weak</v>
      </c>
      <c r="M892" t="s">
        <v>109</v>
      </c>
    </row>
    <row r="893" spans="1:13" x14ac:dyDescent="0.3">
      <c r="A893" t="s">
        <v>99</v>
      </c>
      <c r="B893" t="str">
        <f>_xlfn.TEXTBEFORE(_xlfn.TEXTAFTER(A893,"cas-"),"_")</f>
        <v>94-18-8</v>
      </c>
      <c r="C893" t="s">
        <v>13</v>
      </c>
      <c r="D893" t="s">
        <v>14</v>
      </c>
      <c r="E893" t="s">
        <v>12</v>
      </c>
      <c r="F893">
        <v>-7.96</v>
      </c>
      <c r="G893">
        <v>0.93489999999999995</v>
      </c>
      <c r="H893">
        <v>6.681</v>
      </c>
      <c r="I893">
        <v>6.2460668999999998</v>
      </c>
      <c r="K893" t="str">
        <f>INDEX([1]Sheet1!$A$1:$G$108, MATCH(B893,[1]Sheet1!$B:$B,0), 1)</f>
        <v>Benzyl 4-hydroxybenzoate</v>
      </c>
      <c r="L893" t="str">
        <f>INDEX([1]Sheet1!$A$1:$G$108, MATCH(B893,[1]Sheet1!$B:$B,0), 3)</f>
        <v>weak</v>
      </c>
      <c r="M893" t="s">
        <v>109</v>
      </c>
    </row>
    <row r="894" spans="1:13" x14ac:dyDescent="0.3">
      <c r="A894" t="s">
        <v>99</v>
      </c>
      <c r="B894" t="str">
        <f>_xlfn.TEXTBEFORE(_xlfn.TEXTAFTER(A894,"cas-"),"_")</f>
        <v>94-18-8</v>
      </c>
      <c r="C894" t="s">
        <v>27</v>
      </c>
      <c r="D894" t="s">
        <v>11</v>
      </c>
      <c r="E894" t="s">
        <v>12</v>
      </c>
      <c r="F894">
        <v>-7.7</v>
      </c>
      <c r="G894">
        <v>0.89319999999999999</v>
      </c>
      <c r="H894">
        <v>6.6120000000000001</v>
      </c>
      <c r="I894">
        <v>5.9058384000000004</v>
      </c>
      <c r="K894" t="str">
        <f>INDEX([1]Sheet1!$A$1:$G$108, MATCH(B894,[1]Sheet1!$B:$B,0), 1)</f>
        <v>Benzyl 4-hydroxybenzoate</v>
      </c>
      <c r="L894" t="str">
        <f>INDEX([1]Sheet1!$A$1:$G$108, MATCH(B894,[1]Sheet1!$B:$B,0), 3)</f>
        <v>weak</v>
      </c>
      <c r="M894" t="s">
        <v>109</v>
      </c>
    </row>
    <row r="895" spans="1:13" x14ac:dyDescent="0.3">
      <c r="A895" t="s">
        <v>99</v>
      </c>
      <c r="B895" t="str">
        <f>_xlfn.TEXTBEFORE(_xlfn.TEXTAFTER(A895,"cas-"),"_")</f>
        <v>94-18-8</v>
      </c>
      <c r="C895" t="s">
        <v>15</v>
      </c>
      <c r="D895" t="s">
        <v>16</v>
      </c>
      <c r="E895" t="s">
        <v>12</v>
      </c>
      <c r="F895">
        <v>-7.59</v>
      </c>
      <c r="G895">
        <v>0.84140000000000004</v>
      </c>
      <c r="H895">
        <v>6.5529999999999999</v>
      </c>
      <c r="I895">
        <v>5.5136941999999998</v>
      </c>
      <c r="K895" t="str">
        <f>INDEX([1]Sheet1!$A$1:$G$108, MATCH(B895,[1]Sheet1!$B:$B,0), 1)</f>
        <v>Benzyl 4-hydroxybenzoate</v>
      </c>
      <c r="L895" t="str">
        <f>INDEX([1]Sheet1!$A$1:$G$108, MATCH(B895,[1]Sheet1!$B:$B,0), 3)</f>
        <v>weak</v>
      </c>
      <c r="M895" t="s">
        <v>109</v>
      </c>
    </row>
    <row r="896" spans="1:13" x14ac:dyDescent="0.3">
      <c r="A896" t="s">
        <v>99</v>
      </c>
      <c r="B896" t="str">
        <f>_xlfn.TEXTBEFORE(_xlfn.TEXTAFTER(A896,"cas-"),"_")</f>
        <v>94-18-8</v>
      </c>
      <c r="C896" t="s">
        <v>17</v>
      </c>
      <c r="D896" t="s">
        <v>11</v>
      </c>
      <c r="E896" t="s">
        <v>12</v>
      </c>
      <c r="F896">
        <v>-7.43</v>
      </c>
      <c r="G896">
        <v>0.87319999999999998</v>
      </c>
      <c r="H896">
        <v>6.5190000000000001</v>
      </c>
      <c r="I896">
        <v>5.6923908000000001</v>
      </c>
      <c r="K896" t="str">
        <f>INDEX([1]Sheet1!$A$1:$G$108, MATCH(B896,[1]Sheet1!$B:$B,0), 1)</f>
        <v>Benzyl 4-hydroxybenzoate</v>
      </c>
      <c r="L896" t="str">
        <f>INDEX([1]Sheet1!$A$1:$G$108, MATCH(B896,[1]Sheet1!$B:$B,0), 3)</f>
        <v>weak</v>
      </c>
      <c r="M896" t="s">
        <v>109</v>
      </c>
    </row>
    <row r="897" spans="1:13" x14ac:dyDescent="0.3">
      <c r="A897" t="s">
        <v>99</v>
      </c>
      <c r="B897" t="str">
        <f>_xlfn.TEXTBEFORE(_xlfn.TEXTAFTER(A897,"cas-"),"_")</f>
        <v>94-18-8</v>
      </c>
      <c r="C897" t="s">
        <v>26</v>
      </c>
      <c r="D897" t="s">
        <v>14</v>
      </c>
      <c r="E897" t="s">
        <v>12</v>
      </c>
      <c r="F897">
        <v>-7.96</v>
      </c>
      <c r="G897">
        <v>0.91590000000000005</v>
      </c>
      <c r="H897">
        <v>6.3230000000000004</v>
      </c>
      <c r="I897">
        <v>5.7912357000000014</v>
      </c>
      <c r="K897" t="str">
        <f>INDEX([1]Sheet1!$A$1:$G$108, MATCH(B897,[1]Sheet1!$B:$B,0), 1)</f>
        <v>Benzyl 4-hydroxybenzoate</v>
      </c>
      <c r="L897" t="str">
        <f>INDEX([1]Sheet1!$A$1:$G$108, MATCH(B897,[1]Sheet1!$B:$B,0), 3)</f>
        <v>weak</v>
      </c>
      <c r="M897" t="s">
        <v>109</v>
      </c>
    </row>
    <row r="898" spans="1:13" x14ac:dyDescent="0.3">
      <c r="A898" t="s">
        <v>99</v>
      </c>
      <c r="B898" t="str">
        <f>_xlfn.TEXTBEFORE(_xlfn.TEXTAFTER(A898,"cas-"),"_")</f>
        <v>94-18-8</v>
      </c>
      <c r="C898" t="s">
        <v>10</v>
      </c>
      <c r="D898" t="s">
        <v>11</v>
      </c>
      <c r="E898" t="s">
        <v>12</v>
      </c>
      <c r="F898">
        <v>-7.44</v>
      </c>
      <c r="G898">
        <v>0.87560000000000004</v>
      </c>
      <c r="H898">
        <v>6.5110000000000001</v>
      </c>
      <c r="I898">
        <v>5.7010316000000003</v>
      </c>
      <c r="K898" t="str">
        <f>INDEX([1]Sheet1!$A$1:$G$108, MATCH(B898,[1]Sheet1!$B:$B,0), 1)</f>
        <v>Benzyl 4-hydroxybenzoate</v>
      </c>
      <c r="L898" t="str">
        <f>INDEX([1]Sheet1!$A$1:$G$108, MATCH(B898,[1]Sheet1!$B:$B,0), 3)</f>
        <v>weak</v>
      </c>
      <c r="M898" t="s">
        <v>109</v>
      </c>
    </row>
    <row r="899" spans="1:13" x14ac:dyDescent="0.3">
      <c r="A899" t="s">
        <v>100</v>
      </c>
      <c r="B899" t="str">
        <f>_xlfn.TEXTBEFORE(_xlfn.TEXTAFTER(A899,"cas-"),"_")</f>
        <v>94-25-7</v>
      </c>
      <c r="C899" t="s">
        <v>27</v>
      </c>
      <c r="D899" t="s">
        <v>11</v>
      </c>
      <c r="E899" t="s">
        <v>12</v>
      </c>
      <c r="F899">
        <v>-6.35</v>
      </c>
      <c r="G899">
        <v>0.78039999999999998</v>
      </c>
      <c r="H899">
        <v>5.83</v>
      </c>
      <c r="I899">
        <v>4.5497319999999997</v>
      </c>
      <c r="K899" t="str">
        <f>INDEX([1]Sheet1!$A$1:$G$108, MATCH(B899,[1]Sheet1!$B:$B,0), 1)</f>
        <v>4-Amino butylbenzoate</v>
      </c>
      <c r="L899" t="str">
        <f>INDEX([1]Sheet1!$A$1:$G$108, MATCH(B899,[1]Sheet1!$B:$B,0), 3)</f>
        <v>weak</v>
      </c>
      <c r="M899" t="s">
        <v>109</v>
      </c>
    </row>
    <row r="900" spans="1:13" x14ac:dyDescent="0.3">
      <c r="A900" t="s">
        <v>100</v>
      </c>
      <c r="B900" t="str">
        <f>_xlfn.TEXTBEFORE(_xlfn.TEXTAFTER(A900,"cas-"),"_")</f>
        <v>94-25-7</v>
      </c>
      <c r="C900" t="s">
        <v>30</v>
      </c>
      <c r="D900" t="s">
        <v>31</v>
      </c>
      <c r="E900" t="s">
        <v>12</v>
      </c>
      <c r="F900">
        <v>-5.98</v>
      </c>
      <c r="G900">
        <v>0.82920000000000005</v>
      </c>
      <c r="H900">
        <v>5.2590000000000003</v>
      </c>
      <c r="I900">
        <v>4.3607628000000007</v>
      </c>
      <c r="K900" t="str">
        <f>INDEX([1]Sheet1!$A$1:$G$108, MATCH(B900,[1]Sheet1!$B:$B,0), 1)</f>
        <v>4-Amino butylbenzoate</v>
      </c>
      <c r="L900" t="str">
        <f>INDEX([1]Sheet1!$A$1:$G$108, MATCH(B900,[1]Sheet1!$B:$B,0), 3)</f>
        <v>weak</v>
      </c>
      <c r="M900" t="s">
        <v>109</v>
      </c>
    </row>
    <row r="901" spans="1:13" x14ac:dyDescent="0.3">
      <c r="A901" t="s">
        <v>100</v>
      </c>
      <c r="B901" t="str">
        <f>_xlfn.TEXTBEFORE(_xlfn.TEXTAFTER(A901,"cas-"),"_")</f>
        <v>94-25-7</v>
      </c>
      <c r="C901" t="s">
        <v>19</v>
      </c>
      <c r="D901" t="s">
        <v>20</v>
      </c>
      <c r="E901" t="s">
        <v>12</v>
      </c>
      <c r="F901">
        <v>-6.53</v>
      </c>
      <c r="G901">
        <v>0.79420000000000002</v>
      </c>
      <c r="H901">
        <v>5.2759999999999998</v>
      </c>
      <c r="I901">
        <v>4.1901992000000003</v>
      </c>
      <c r="K901" t="str">
        <f>INDEX([1]Sheet1!$A$1:$G$108, MATCH(B901,[1]Sheet1!$B:$B,0), 1)</f>
        <v>4-Amino butylbenzoate</v>
      </c>
      <c r="L901" t="str">
        <f>INDEX([1]Sheet1!$A$1:$G$108, MATCH(B901,[1]Sheet1!$B:$B,0), 3)</f>
        <v>weak</v>
      </c>
      <c r="M901" t="s">
        <v>109</v>
      </c>
    </row>
    <row r="902" spans="1:13" x14ac:dyDescent="0.3">
      <c r="A902" t="s">
        <v>100</v>
      </c>
      <c r="B902" t="str">
        <f>_xlfn.TEXTBEFORE(_xlfn.TEXTAFTER(A902,"cas-"),"_")</f>
        <v>94-25-7</v>
      </c>
      <c r="C902" t="s">
        <v>22</v>
      </c>
      <c r="D902" t="s">
        <v>23</v>
      </c>
      <c r="E902" t="s">
        <v>12</v>
      </c>
      <c r="F902">
        <v>-6.28</v>
      </c>
      <c r="G902">
        <v>0.81189999999999996</v>
      </c>
      <c r="H902">
        <v>5.4889999999999999</v>
      </c>
      <c r="I902">
        <v>4.4565191000000004</v>
      </c>
      <c r="K902" t="str">
        <f>INDEX([1]Sheet1!$A$1:$G$108, MATCH(B902,[1]Sheet1!$B:$B,0), 1)</f>
        <v>4-Amino butylbenzoate</v>
      </c>
      <c r="L902" t="str">
        <f>INDEX([1]Sheet1!$A$1:$G$108, MATCH(B902,[1]Sheet1!$B:$B,0), 3)</f>
        <v>weak</v>
      </c>
      <c r="M902" t="s">
        <v>109</v>
      </c>
    </row>
    <row r="903" spans="1:13" x14ac:dyDescent="0.3">
      <c r="A903" t="s">
        <v>100</v>
      </c>
      <c r="B903" t="str">
        <f>_xlfn.TEXTBEFORE(_xlfn.TEXTAFTER(A903,"cas-"),"_")</f>
        <v>94-25-7</v>
      </c>
      <c r="C903" t="s">
        <v>15</v>
      </c>
      <c r="D903" t="s">
        <v>16</v>
      </c>
      <c r="E903" t="s">
        <v>12</v>
      </c>
      <c r="F903">
        <v>-6.38</v>
      </c>
      <c r="G903">
        <v>0.74339999999999995</v>
      </c>
      <c r="H903">
        <v>5.1429999999999998</v>
      </c>
      <c r="I903">
        <v>3.8233062000000002</v>
      </c>
      <c r="K903" t="str">
        <f>INDEX([1]Sheet1!$A$1:$G$108, MATCH(B903,[1]Sheet1!$B:$B,0), 1)</f>
        <v>4-Amino butylbenzoate</v>
      </c>
      <c r="L903" t="str">
        <f>INDEX([1]Sheet1!$A$1:$G$108, MATCH(B903,[1]Sheet1!$B:$B,0), 3)</f>
        <v>weak</v>
      </c>
      <c r="M903" t="s">
        <v>109</v>
      </c>
    </row>
    <row r="904" spans="1:13" x14ac:dyDescent="0.3">
      <c r="A904" t="s">
        <v>100</v>
      </c>
      <c r="B904" t="str">
        <f>_xlfn.TEXTBEFORE(_xlfn.TEXTAFTER(A904,"cas-"),"_")</f>
        <v>94-25-7</v>
      </c>
      <c r="C904" t="s">
        <v>17</v>
      </c>
      <c r="D904" t="s">
        <v>11</v>
      </c>
      <c r="E904" t="s">
        <v>12</v>
      </c>
      <c r="F904">
        <v>-6.19</v>
      </c>
      <c r="G904">
        <v>0.81620000000000004</v>
      </c>
      <c r="H904">
        <v>5.51</v>
      </c>
      <c r="I904">
        <v>4.4972620000000001</v>
      </c>
      <c r="K904" t="str">
        <f>INDEX([1]Sheet1!$A$1:$G$108, MATCH(B904,[1]Sheet1!$B:$B,0), 1)</f>
        <v>4-Amino butylbenzoate</v>
      </c>
      <c r="L904" t="str">
        <f>INDEX([1]Sheet1!$A$1:$G$108, MATCH(B904,[1]Sheet1!$B:$B,0), 3)</f>
        <v>weak</v>
      </c>
      <c r="M904" t="s">
        <v>109</v>
      </c>
    </row>
    <row r="905" spans="1:13" x14ac:dyDescent="0.3">
      <c r="A905" t="s">
        <v>100</v>
      </c>
      <c r="B905" t="str">
        <f>_xlfn.TEXTBEFORE(_xlfn.TEXTAFTER(A905,"cas-"),"_")</f>
        <v>94-25-7</v>
      </c>
      <c r="C905" t="s">
        <v>13</v>
      </c>
      <c r="D905" t="s">
        <v>14</v>
      </c>
      <c r="E905" t="s">
        <v>12</v>
      </c>
      <c r="F905">
        <v>-6.39</v>
      </c>
      <c r="G905">
        <v>0.88190000000000002</v>
      </c>
      <c r="H905">
        <v>5.7569999999999997</v>
      </c>
      <c r="I905">
        <v>5.0770982999999994</v>
      </c>
      <c r="K905" t="str">
        <f>INDEX([1]Sheet1!$A$1:$G$108, MATCH(B905,[1]Sheet1!$B:$B,0), 1)</f>
        <v>4-Amino butylbenzoate</v>
      </c>
      <c r="L905" t="str">
        <f>INDEX([1]Sheet1!$A$1:$G$108, MATCH(B905,[1]Sheet1!$B:$B,0), 3)</f>
        <v>weak</v>
      </c>
      <c r="M905" t="s">
        <v>109</v>
      </c>
    </row>
    <row r="906" spans="1:13" x14ac:dyDescent="0.3">
      <c r="A906" t="s">
        <v>100</v>
      </c>
      <c r="B906" t="str">
        <f>_xlfn.TEXTBEFORE(_xlfn.TEXTAFTER(A906,"cas-"),"_")</f>
        <v>94-25-7</v>
      </c>
      <c r="C906" t="s">
        <v>26</v>
      </c>
      <c r="D906" t="s">
        <v>14</v>
      </c>
      <c r="E906" t="s">
        <v>12</v>
      </c>
      <c r="F906">
        <v>-6.33</v>
      </c>
      <c r="G906">
        <v>0.84989999999999999</v>
      </c>
      <c r="H906">
        <v>5.4180000000000001</v>
      </c>
      <c r="I906">
        <v>4.6047582</v>
      </c>
      <c r="K906" t="str">
        <f>INDEX([1]Sheet1!$A$1:$G$108, MATCH(B906,[1]Sheet1!$B:$B,0), 1)</f>
        <v>4-Amino butylbenzoate</v>
      </c>
      <c r="L906" t="str">
        <f>INDEX([1]Sheet1!$A$1:$G$108, MATCH(B906,[1]Sheet1!$B:$B,0), 3)</f>
        <v>weak</v>
      </c>
      <c r="M906" t="s">
        <v>109</v>
      </c>
    </row>
    <row r="907" spans="1:13" x14ac:dyDescent="0.3">
      <c r="A907" t="s">
        <v>100</v>
      </c>
      <c r="B907" t="str">
        <f>_xlfn.TEXTBEFORE(_xlfn.TEXTAFTER(A907,"cas-"),"_")</f>
        <v>94-25-7</v>
      </c>
      <c r="C907" t="s">
        <v>28</v>
      </c>
      <c r="D907" t="s">
        <v>29</v>
      </c>
      <c r="E907" t="s">
        <v>12</v>
      </c>
      <c r="F907">
        <v>-6.07</v>
      </c>
      <c r="G907">
        <v>0.84150000000000003</v>
      </c>
      <c r="H907">
        <v>5.4180000000000001</v>
      </c>
      <c r="I907">
        <v>4.559247</v>
      </c>
      <c r="K907" t="str">
        <f>INDEX([1]Sheet1!$A$1:$G$108, MATCH(B907,[1]Sheet1!$B:$B,0), 1)</f>
        <v>4-Amino butylbenzoate</v>
      </c>
      <c r="L907" t="str">
        <f>INDEX([1]Sheet1!$A$1:$G$108, MATCH(B907,[1]Sheet1!$B:$B,0), 3)</f>
        <v>weak</v>
      </c>
      <c r="M907" t="s">
        <v>109</v>
      </c>
    </row>
    <row r="908" spans="1:13" x14ac:dyDescent="0.3">
      <c r="A908" t="s">
        <v>100</v>
      </c>
      <c r="B908" t="str">
        <f>_xlfn.TEXTBEFORE(_xlfn.TEXTAFTER(A908,"cas-"),"_")</f>
        <v>94-25-7</v>
      </c>
      <c r="C908" t="s">
        <v>21</v>
      </c>
      <c r="D908" t="s">
        <v>11</v>
      </c>
      <c r="E908" t="s">
        <v>12</v>
      </c>
      <c r="F908">
        <v>-6.11</v>
      </c>
      <c r="G908">
        <v>0.87160000000000004</v>
      </c>
      <c r="H908">
        <v>5.3280000000000003</v>
      </c>
      <c r="I908">
        <v>4.6438848000000004</v>
      </c>
      <c r="K908" t="str">
        <f>INDEX([1]Sheet1!$A$1:$G$108, MATCH(B908,[1]Sheet1!$B:$B,0), 1)</f>
        <v>4-Amino butylbenzoate</v>
      </c>
      <c r="L908" t="str">
        <f>INDEX([1]Sheet1!$A$1:$G$108, MATCH(B908,[1]Sheet1!$B:$B,0), 3)</f>
        <v>weak</v>
      </c>
      <c r="M908" t="s">
        <v>109</v>
      </c>
    </row>
    <row r="909" spans="1:13" x14ac:dyDescent="0.3">
      <c r="A909" t="s">
        <v>100</v>
      </c>
      <c r="B909" t="str">
        <f>_xlfn.TEXTBEFORE(_xlfn.TEXTAFTER(A909,"cas-"),"_")</f>
        <v>94-25-7</v>
      </c>
      <c r="C909" t="s">
        <v>24</v>
      </c>
      <c r="D909" t="s">
        <v>25</v>
      </c>
      <c r="E909" t="s">
        <v>12</v>
      </c>
      <c r="F909">
        <v>-6.21</v>
      </c>
      <c r="G909">
        <v>0.80489999999999995</v>
      </c>
      <c r="H909">
        <v>5.1760000000000002</v>
      </c>
      <c r="I909">
        <v>4.1661624000000002</v>
      </c>
      <c r="K909" t="str">
        <f>INDEX([1]Sheet1!$A$1:$G$108, MATCH(B909,[1]Sheet1!$B:$B,0), 1)</f>
        <v>4-Amino butylbenzoate</v>
      </c>
      <c r="L909" t="str">
        <f>INDEX([1]Sheet1!$A$1:$G$108, MATCH(B909,[1]Sheet1!$B:$B,0), 3)</f>
        <v>weak</v>
      </c>
      <c r="M909" t="s">
        <v>109</v>
      </c>
    </row>
    <row r="910" spans="1:13" x14ac:dyDescent="0.3">
      <c r="A910" t="s">
        <v>100</v>
      </c>
      <c r="B910" t="str">
        <f>_xlfn.TEXTBEFORE(_xlfn.TEXTAFTER(A910,"cas-"),"_")</f>
        <v>94-25-7</v>
      </c>
      <c r="C910" t="s">
        <v>18</v>
      </c>
      <c r="D910" t="s">
        <v>11</v>
      </c>
      <c r="E910" t="s">
        <v>12</v>
      </c>
      <c r="F910">
        <v>-6.16</v>
      </c>
      <c r="G910">
        <v>0.83440000000000003</v>
      </c>
      <c r="H910">
        <v>5.3419999999999996</v>
      </c>
      <c r="I910">
        <v>4.4573647999999997</v>
      </c>
      <c r="K910" t="str">
        <f>INDEX([1]Sheet1!$A$1:$G$108, MATCH(B910,[1]Sheet1!$B:$B,0), 1)</f>
        <v>4-Amino butylbenzoate</v>
      </c>
      <c r="L910" t="str">
        <f>INDEX([1]Sheet1!$A$1:$G$108, MATCH(B910,[1]Sheet1!$B:$B,0), 3)</f>
        <v>weak</v>
      </c>
      <c r="M910" t="s">
        <v>109</v>
      </c>
    </row>
    <row r="911" spans="1:13" x14ac:dyDescent="0.3">
      <c r="A911" t="s">
        <v>100</v>
      </c>
      <c r="B911" t="str">
        <f>_xlfn.TEXTBEFORE(_xlfn.TEXTAFTER(A911,"cas-"),"_")</f>
        <v>94-25-7</v>
      </c>
      <c r="C911" t="s">
        <v>10</v>
      </c>
      <c r="D911" t="s">
        <v>11</v>
      </c>
      <c r="E911" t="s">
        <v>12</v>
      </c>
      <c r="F911">
        <v>-6.24</v>
      </c>
      <c r="G911">
        <v>0.83360000000000001</v>
      </c>
      <c r="H911">
        <v>5.444</v>
      </c>
      <c r="I911">
        <v>4.5381184000000001</v>
      </c>
      <c r="K911" t="str">
        <f>INDEX([1]Sheet1!$A$1:$G$108, MATCH(B911,[1]Sheet1!$B:$B,0), 1)</f>
        <v>4-Amino butylbenzoate</v>
      </c>
      <c r="L911" t="str">
        <f>INDEX([1]Sheet1!$A$1:$G$108, MATCH(B911,[1]Sheet1!$B:$B,0), 3)</f>
        <v>weak</v>
      </c>
      <c r="M911" t="s">
        <v>109</v>
      </c>
    </row>
    <row r="912" spans="1:13" x14ac:dyDescent="0.3">
      <c r="A912" t="s">
        <v>101</v>
      </c>
      <c r="B912" t="str">
        <f>_xlfn.TEXTBEFORE(_xlfn.TEXTAFTER(A912,"cas-"),"_")</f>
        <v>94-26-8</v>
      </c>
      <c r="C912" t="s">
        <v>17</v>
      </c>
      <c r="D912" t="s">
        <v>11</v>
      </c>
      <c r="E912" t="s">
        <v>12</v>
      </c>
      <c r="F912">
        <v>-5.94</v>
      </c>
      <c r="G912">
        <v>0.89670000000000005</v>
      </c>
      <c r="H912">
        <v>5.4009999999999998</v>
      </c>
      <c r="I912">
        <v>4.8430767000000001</v>
      </c>
      <c r="K912" t="str">
        <f>INDEX([1]Sheet1!$A$1:$G$108, MATCH(B912,[1]Sheet1!$B:$B,0), 1)</f>
        <v>n-Butyl 4-hydroxybenzoate</v>
      </c>
      <c r="L912" t="str">
        <f>INDEX([1]Sheet1!$A$1:$G$108, MATCH(B912,[1]Sheet1!$B:$B,0), 3)</f>
        <v>weak</v>
      </c>
      <c r="M912" t="s">
        <v>109</v>
      </c>
    </row>
    <row r="913" spans="1:13" x14ac:dyDescent="0.3">
      <c r="A913" t="s">
        <v>101</v>
      </c>
      <c r="B913" t="str">
        <f>_xlfn.TEXTBEFORE(_xlfn.TEXTAFTER(A913,"cas-"),"_")</f>
        <v>94-26-8</v>
      </c>
      <c r="C913" t="s">
        <v>30</v>
      </c>
      <c r="D913" t="s">
        <v>31</v>
      </c>
      <c r="E913" t="s">
        <v>12</v>
      </c>
      <c r="F913">
        <v>-6.42</v>
      </c>
      <c r="G913">
        <v>0.89090000000000003</v>
      </c>
      <c r="H913">
        <v>5.9509999999999996</v>
      </c>
      <c r="I913">
        <v>5.3017459000000002</v>
      </c>
      <c r="K913" t="str">
        <f>INDEX([1]Sheet1!$A$1:$G$108, MATCH(B913,[1]Sheet1!$B:$B,0), 1)</f>
        <v>n-Butyl 4-hydroxybenzoate</v>
      </c>
      <c r="L913" t="str">
        <f>INDEX([1]Sheet1!$A$1:$G$108, MATCH(B913,[1]Sheet1!$B:$B,0), 3)</f>
        <v>weak</v>
      </c>
      <c r="M913" t="s">
        <v>109</v>
      </c>
    </row>
    <row r="914" spans="1:13" x14ac:dyDescent="0.3">
      <c r="A914" t="s">
        <v>101</v>
      </c>
      <c r="B914" t="str">
        <f>_xlfn.TEXTBEFORE(_xlfn.TEXTAFTER(A914,"cas-"),"_")</f>
        <v>94-26-8</v>
      </c>
      <c r="C914" t="s">
        <v>28</v>
      </c>
      <c r="D914" t="s">
        <v>29</v>
      </c>
      <c r="E914" t="s">
        <v>12</v>
      </c>
      <c r="F914">
        <v>-6.14</v>
      </c>
      <c r="G914">
        <v>0.91180000000000005</v>
      </c>
      <c r="H914">
        <v>5.8879999999999999</v>
      </c>
      <c r="I914">
        <v>5.3686784000000003</v>
      </c>
      <c r="K914" t="str">
        <f>INDEX([1]Sheet1!$A$1:$G$108, MATCH(B914,[1]Sheet1!$B:$B,0), 1)</f>
        <v>n-Butyl 4-hydroxybenzoate</v>
      </c>
      <c r="L914" t="str">
        <f>INDEX([1]Sheet1!$A$1:$G$108, MATCH(B914,[1]Sheet1!$B:$B,0), 3)</f>
        <v>weak</v>
      </c>
      <c r="M914" t="s">
        <v>109</v>
      </c>
    </row>
    <row r="915" spans="1:13" x14ac:dyDescent="0.3">
      <c r="A915" t="s">
        <v>101</v>
      </c>
      <c r="B915" t="str">
        <f>_xlfn.TEXTBEFORE(_xlfn.TEXTAFTER(A915,"cas-"),"_")</f>
        <v>94-26-8</v>
      </c>
      <c r="C915" t="s">
        <v>27</v>
      </c>
      <c r="D915" t="s">
        <v>11</v>
      </c>
      <c r="E915" t="s">
        <v>12</v>
      </c>
      <c r="F915">
        <v>-6.85</v>
      </c>
      <c r="G915">
        <v>0.89739999999999998</v>
      </c>
      <c r="H915">
        <v>6.5519999999999996</v>
      </c>
      <c r="I915">
        <v>5.8797647999999993</v>
      </c>
      <c r="K915" t="str">
        <f>INDEX([1]Sheet1!$A$1:$G$108, MATCH(B915,[1]Sheet1!$B:$B,0), 1)</f>
        <v>n-Butyl 4-hydroxybenzoate</v>
      </c>
      <c r="L915" t="str">
        <f>INDEX([1]Sheet1!$A$1:$G$108, MATCH(B915,[1]Sheet1!$B:$B,0), 3)</f>
        <v>weak</v>
      </c>
      <c r="M915" t="s">
        <v>109</v>
      </c>
    </row>
    <row r="916" spans="1:13" x14ac:dyDescent="0.3">
      <c r="A916" t="s">
        <v>101</v>
      </c>
      <c r="B916" t="str">
        <f>_xlfn.TEXTBEFORE(_xlfn.TEXTAFTER(A916,"cas-"),"_")</f>
        <v>94-26-8</v>
      </c>
      <c r="C916" t="s">
        <v>26</v>
      </c>
      <c r="D916" t="s">
        <v>14</v>
      </c>
      <c r="E916" t="s">
        <v>12</v>
      </c>
      <c r="F916">
        <v>-6.45</v>
      </c>
      <c r="G916">
        <v>0.91820000000000002</v>
      </c>
      <c r="H916">
        <v>5.68</v>
      </c>
      <c r="I916">
        <v>5.215376</v>
      </c>
      <c r="K916" t="str">
        <f>INDEX([1]Sheet1!$A$1:$G$108, MATCH(B916,[1]Sheet1!$B:$B,0), 1)</f>
        <v>n-Butyl 4-hydroxybenzoate</v>
      </c>
      <c r="L916" t="str">
        <f>INDEX([1]Sheet1!$A$1:$G$108, MATCH(B916,[1]Sheet1!$B:$B,0), 3)</f>
        <v>weak</v>
      </c>
      <c r="M916" t="s">
        <v>109</v>
      </c>
    </row>
    <row r="917" spans="1:13" x14ac:dyDescent="0.3">
      <c r="A917" t="s">
        <v>101</v>
      </c>
      <c r="B917" t="str">
        <f>_xlfn.TEXTBEFORE(_xlfn.TEXTAFTER(A917,"cas-"),"_")</f>
        <v>94-26-8</v>
      </c>
      <c r="C917" t="s">
        <v>13</v>
      </c>
      <c r="D917" t="s">
        <v>14</v>
      </c>
      <c r="E917" t="s">
        <v>12</v>
      </c>
      <c r="F917">
        <v>-6.66</v>
      </c>
      <c r="G917">
        <v>0.9375</v>
      </c>
      <c r="H917">
        <v>5.7930000000000001</v>
      </c>
      <c r="I917">
        <v>5.4309374999999998</v>
      </c>
      <c r="K917" t="str">
        <f>INDEX([1]Sheet1!$A$1:$G$108, MATCH(B917,[1]Sheet1!$B:$B,0), 1)</f>
        <v>n-Butyl 4-hydroxybenzoate</v>
      </c>
      <c r="L917" t="str">
        <f>INDEX([1]Sheet1!$A$1:$G$108, MATCH(B917,[1]Sheet1!$B:$B,0), 3)</f>
        <v>weak</v>
      </c>
      <c r="M917" t="s">
        <v>109</v>
      </c>
    </row>
    <row r="918" spans="1:13" x14ac:dyDescent="0.3">
      <c r="A918" t="s">
        <v>101</v>
      </c>
      <c r="B918" t="str">
        <f>_xlfn.TEXTBEFORE(_xlfn.TEXTAFTER(A918,"cas-"),"_")</f>
        <v>94-26-8</v>
      </c>
      <c r="C918" t="s">
        <v>10</v>
      </c>
      <c r="D918" t="s">
        <v>11</v>
      </c>
      <c r="E918" t="s">
        <v>12</v>
      </c>
      <c r="F918">
        <v>-6.68</v>
      </c>
      <c r="G918">
        <v>0.91900000000000004</v>
      </c>
      <c r="H918">
        <v>5.7489999999999997</v>
      </c>
      <c r="I918">
        <v>5.2833310000000004</v>
      </c>
      <c r="K918" t="str">
        <f>INDEX([1]Sheet1!$A$1:$G$108, MATCH(B918,[1]Sheet1!$B:$B,0), 1)</f>
        <v>n-Butyl 4-hydroxybenzoate</v>
      </c>
      <c r="L918" t="str">
        <f>INDEX([1]Sheet1!$A$1:$G$108, MATCH(B918,[1]Sheet1!$B:$B,0), 3)</f>
        <v>weak</v>
      </c>
      <c r="M918" t="s">
        <v>109</v>
      </c>
    </row>
    <row r="919" spans="1:13" x14ac:dyDescent="0.3">
      <c r="A919" t="s">
        <v>101</v>
      </c>
      <c r="B919" t="str">
        <f>_xlfn.TEXTBEFORE(_xlfn.TEXTAFTER(A919,"cas-"),"_")</f>
        <v>94-26-8</v>
      </c>
      <c r="C919" t="s">
        <v>22</v>
      </c>
      <c r="D919" t="s">
        <v>23</v>
      </c>
      <c r="E919" t="s">
        <v>12</v>
      </c>
      <c r="F919">
        <v>-6.52</v>
      </c>
      <c r="G919">
        <v>0.92520000000000002</v>
      </c>
      <c r="H919">
        <v>5.5789999999999997</v>
      </c>
      <c r="I919">
        <v>5.1616907999999997</v>
      </c>
      <c r="K919" t="str">
        <f>INDEX([1]Sheet1!$A$1:$G$108, MATCH(B919,[1]Sheet1!$B:$B,0), 1)</f>
        <v>n-Butyl 4-hydroxybenzoate</v>
      </c>
      <c r="L919" t="str">
        <f>INDEX([1]Sheet1!$A$1:$G$108, MATCH(B919,[1]Sheet1!$B:$B,0), 3)</f>
        <v>weak</v>
      </c>
      <c r="M919" t="s">
        <v>109</v>
      </c>
    </row>
    <row r="920" spans="1:13" x14ac:dyDescent="0.3">
      <c r="A920" t="s">
        <v>101</v>
      </c>
      <c r="B920" t="str">
        <f>_xlfn.TEXTBEFORE(_xlfn.TEXTAFTER(A920,"cas-"),"_")</f>
        <v>94-26-8</v>
      </c>
      <c r="C920" t="s">
        <v>21</v>
      </c>
      <c r="D920" t="s">
        <v>11</v>
      </c>
      <c r="E920" t="s">
        <v>12</v>
      </c>
      <c r="F920">
        <v>-6.55</v>
      </c>
      <c r="G920">
        <v>0.91359999999999997</v>
      </c>
      <c r="H920">
        <v>5.3860000000000001</v>
      </c>
      <c r="I920">
        <v>4.9206496</v>
      </c>
      <c r="K920" t="str">
        <f>INDEX([1]Sheet1!$A$1:$G$108, MATCH(B920,[1]Sheet1!$B:$B,0), 1)</f>
        <v>n-Butyl 4-hydroxybenzoate</v>
      </c>
      <c r="L920" t="str">
        <f>INDEX([1]Sheet1!$A$1:$G$108, MATCH(B920,[1]Sheet1!$B:$B,0), 3)</f>
        <v>weak</v>
      </c>
      <c r="M920" t="s">
        <v>109</v>
      </c>
    </row>
    <row r="921" spans="1:13" x14ac:dyDescent="0.3">
      <c r="A921" t="s">
        <v>101</v>
      </c>
      <c r="B921" t="str">
        <f>_xlfn.TEXTBEFORE(_xlfn.TEXTAFTER(A921,"cas-"),"_")</f>
        <v>94-26-8</v>
      </c>
      <c r="C921" t="s">
        <v>19</v>
      </c>
      <c r="D921" t="s">
        <v>20</v>
      </c>
      <c r="E921" t="s">
        <v>12</v>
      </c>
      <c r="F921">
        <v>-6.68</v>
      </c>
      <c r="G921">
        <v>0.88990000000000002</v>
      </c>
      <c r="H921">
        <v>5.6369999999999996</v>
      </c>
      <c r="I921">
        <v>5.0163662999999996</v>
      </c>
      <c r="K921" t="str">
        <f>INDEX([1]Sheet1!$A$1:$G$108, MATCH(B921,[1]Sheet1!$B:$B,0), 1)</f>
        <v>n-Butyl 4-hydroxybenzoate</v>
      </c>
      <c r="L921" t="str">
        <f>INDEX([1]Sheet1!$A$1:$G$108, MATCH(B921,[1]Sheet1!$B:$B,0), 3)</f>
        <v>weak</v>
      </c>
      <c r="M921" t="s">
        <v>109</v>
      </c>
    </row>
    <row r="922" spans="1:13" x14ac:dyDescent="0.3">
      <c r="A922" t="s">
        <v>101</v>
      </c>
      <c r="B922" t="str">
        <f>_xlfn.TEXTBEFORE(_xlfn.TEXTAFTER(A922,"cas-"),"_")</f>
        <v>94-26-8</v>
      </c>
      <c r="C922" t="s">
        <v>18</v>
      </c>
      <c r="D922" t="s">
        <v>11</v>
      </c>
      <c r="E922" t="s">
        <v>12</v>
      </c>
      <c r="F922">
        <v>-6.57</v>
      </c>
      <c r="G922">
        <v>0.9214</v>
      </c>
      <c r="H922">
        <v>5.8730000000000002</v>
      </c>
      <c r="I922">
        <v>5.4113822000000003</v>
      </c>
      <c r="K922" t="str">
        <f>INDEX([1]Sheet1!$A$1:$G$108, MATCH(B922,[1]Sheet1!$B:$B,0), 1)</f>
        <v>n-Butyl 4-hydroxybenzoate</v>
      </c>
      <c r="L922" t="str">
        <f>INDEX([1]Sheet1!$A$1:$G$108, MATCH(B922,[1]Sheet1!$B:$B,0), 3)</f>
        <v>weak</v>
      </c>
      <c r="M922" t="s">
        <v>109</v>
      </c>
    </row>
    <row r="923" spans="1:13" x14ac:dyDescent="0.3">
      <c r="A923" t="s">
        <v>101</v>
      </c>
      <c r="B923" t="str">
        <f>_xlfn.TEXTBEFORE(_xlfn.TEXTAFTER(A923,"cas-"),"_")</f>
        <v>94-26-8</v>
      </c>
      <c r="C923" t="s">
        <v>24</v>
      </c>
      <c r="D923" t="s">
        <v>25</v>
      </c>
      <c r="E923" t="s">
        <v>12</v>
      </c>
      <c r="F923">
        <v>-6.34</v>
      </c>
      <c r="G923">
        <v>0.87260000000000004</v>
      </c>
      <c r="H923">
        <v>5.8419999999999996</v>
      </c>
      <c r="I923">
        <v>5.0977291999999998</v>
      </c>
      <c r="K923" t="str">
        <f>INDEX([1]Sheet1!$A$1:$G$108, MATCH(B923,[1]Sheet1!$B:$B,0), 1)</f>
        <v>n-Butyl 4-hydroxybenzoate</v>
      </c>
      <c r="L923" t="str">
        <f>INDEX([1]Sheet1!$A$1:$G$108, MATCH(B923,[1]Sheet1!$B:$B,0), 3)</f>
        <v>weak</v>
      </c>
      <c r="M923" t="s">
        <v>109</v>
      </c>
    </row>
    <row r="924" spans="1:13" x14ac:dyDescent="0.3">
      <c r="A924" t="s">
        <v>101</v>
      </c>
      <c r="B924" t="str">
        <f>_xlfn.TEXTBEFORE(_xlfn.TEXTAFTER(A924,"cas-"),"_")</f>
        <v>94-26-8</v>
      </c>
      <c r="C924" t="s">
        <v>15</v>
      </c>
      <c r="D924" t="s">
        <v>16</v>
      </c>
      <c r="E924" t="s">
        <v>12</v>
      </c>
      <c r="F924">
        <v>-6.77</v>
      </c>
      <c r="G924">
        <v>0.88800000000000001</v>
      </c>
      <c r="H924">
        <v>5.375</v>
      </c>
      <c r="I924">
        <v>4.7729999999999997</v>
      </c>
      <c r="K924" t="str">
        <f>INDEX([1]Sheet1!$A$1:$G$108, MATCH(B924,[1]Sheet1!$B:$B,0), 1)</f>
        <v>n-Butyl 4-hydroxybenzoate</v>
      </c>
      <c r="L924" t="str">
        <f>INDEX([1]Sheet1!$A$1:$G$108, MATCH(B924,[1]Sheet1!$B:$B,0), 3)</f>
        <v>weak</v>
      </c>
      <c r="M924" t="s">
        <v>109</v>
      </c>
    </row>
    <row r="925" spans="1:13" x14ac:dyDescent="0.3">
      <c r="A925" t="s">
        <v>102</v>
      </c>
      <c r="B925" t="str">
        <f>_xlfn.TEXTBEFORE(_xlfn.TEXTAFTER(A925,"cas-"),"_")</f>
        <v>97-53-0</v>
      </c>
      <c r="C925" t="s">
        <v>26</v>
      </c>
      <c r="D925" t="s">
        <v>14</v>
      </c>
      <c r="E925" t="s">
        <v>12</v>
      </c>
      <c r="F925">
        <v>-5.56</v>
      </c>
      <c r="G925">
        <v>0.79200000000000004</v>
      </c>
      <c r="H925">
        <v>5.47</v>
      </c>
      <c r="I925">
        <v>4.3322399999999996</v>
      </c>
      <c r="K925" t="str">
        <f>INDEX([1]Sheet1!$A$1:$G$108, MATCH(B925,[1]Sheet1!$B:$B,0), 1)</f>
        <v>Eugenol</v>
      </c>
      <c r="L925" t="str">
        <f>INDEX([1]Sheet1!$A$1:$G$108, MATCH(B925,[1]Sheet1!$B:$B,0), 3)</f>
        <v>weak</v>
      </c>
      <c r="M925" t="s">
        <v>109</v>
      </c>
    </row>
    <row r="926" spans="1:13" x14ac:dyDescent="0.3">
      <c r="A926" t="s">
        <v>102</v>
      </c>
      <c r="B926" t="str">
        <f>_xlfn.TEXTBEFORE(_xlfn.TEXTAFTER(A926,"cas-"),"_")</f>
        <v>97-53-0</v>
      </c>
      <c r="C926" t="s">
        <v>30</v>
      </c>
      <c r="D926" t="s">
        <v>31</v>
      </c>
      <c r="E926" t="s">
        <v>12</v>
      </c>
      <c r="F926">
        <v>-5.67</v>
      </c>
      <c r="G926">
        <v>0.77749999999999997</v>
      </c>
      <c r="H926">
        <v>5.5990000000000002</v>
      </c>
      <c r="I926">
        <v>4.3532225000000002</v>
      </c>
      <c r="K926" t="str">
        <f>INDEX([1]Sheet1!$A$1:$G$108, MATCH(B926,[1]Sheet1!$B:$B,0), 1)</f>
        <v>Eugenol</v>
      </c>
      <c r="L926" t="str">
        <f>INDEX([1]Sheet1!$A$1:$G$108, MATCH(B926,[1]Sheet1!$B:$B,0), 3)</f>
        <v>weak</v>
      </c>
      <c r="M926" t="s">
        <v>109</v>
      </c>
    </row>
    <row r="927" spans="1:13" x14ac:dyDescent="0.3">
      <c r="A927" t="s">
        <v>102</v>
      </c>
      <c r="B927" t="str">
        <f>_xlfn.TEXTBEFORE(_xlfn.TEXTAFTER(A927,"cas-"),"_")</f>
        <v>97-53-0</v>
      </c>
      <c r="C927" t="s">
        <v>24</v>
      </c>
      <c r="D927" t="s">
        <v>25</v>
      </c>
      <c r="E927" t="s">
        <v>12</v>
      </c>
      <c r="F927">
        <v>-5.52</v>
      </c>
      <c r="G927">
        <v>0.78190000000000004</v>
      </c>
      <c r="H927">
        <v>4.7919999999999998</v>
      </c>
      <c r="I927">
        <v>3.7468648</v>
      </c>
      <c r="K927" t="str">
        <f>INDEX([1]Sheet1!$A$1:$G$108, MATCH(B927,[1]Sheet1!$B:$B,0), 1)</f>
        <v>Eugenol</v>
      </c>
      <c r="L927" t="str">
        <f>INDEX([1]Sheet1!$A$1:$G$108, MATCH(B927,[1]Sheet1!$B:$B,0), 3)</f>
        <v>weak</v>
      </c>
      <c r="M927" t="s">
        <v>109</v>
      </c>
    </row>
    <row r="928" spans="1:13" x14ac:dyDescent="0.3">
      <c r="A928" t="s">
        <v>102</v>
      </c>
      <c r="B928" t="str">
        <f>_xlfn.TEXTBEFORE(_xlfn.TEXTAFTER(A928,"cas-"),"_")</f>
        <v>97-53-0</v>
      </c>
      <c r="C928" t="s">
        <v>18</v>
      </c>
      <c r="D928" t="s">
        <v>11</v>
      </c>
      <c r="E928" t="s">
        <v>12</v>
      </c>
      <c r="F928">
        <v>-5.66</v>
      </c>
      <c r="G928">
        <v>0.8004</v>
      </c>
      <c r="H928">
        <v>5.2469999999999999</v>
      </c>
      <c r="I928">
        <v>4.1996988000000002</v>
      </c>
      <c r="K928" t="str">
        <f>INDEX([1]Sheet1!$A$1:$G$108, MATCH(B928,[1]Sheet1!$B:$B,0), 1)</f>
        <v>Eugenol</v>
      </c>
      <c r="L928" t="str">
        <f>INDEX([1]Sheet1!$A$1:$G$108, MATCH(B928,[1]Sheet1!$B:$B,0), 3)</f>
        <v>weak</v>
      </c>
      <c r="M928" t="s">
        <v>109</v>
      </c>
    </row>
    <row r="929" spans="1:13" x14ac:dyDescent="0.3">
      <c r="A929" t="s">
        <v>102</v>
      </c>
      <c r="B929" t="str">
        <f>_xlfn.TEXTBEFORE(_xlfn.TEXTAFTER(A929,"cas-"),"_")</f>
        <v>97-53-0</v>
      </c>
      <c r="C929" t="s">
        <v>10</v>
      </c>
      <c r="D929" t="s">
        <v>11</v>
      </c>
      <c r="E929" t="s">
        <v>12</v>
      </c>
      <c r="F929">
        <v>-5.73</v>
      </c>
      <c r="G929">
        <v>0.76539999999999997</v>
      </c>
      <c r="H929">
        <v>5.2290000000000001</v>
      </c>
      <c r="I929">
        <v>4.0022766000000001</v>
      </c>
      <c r="K929" t="str">
        <f>INDEX([1]Sheet1!$A$1:$G$108, MATCH(B929,[1]Sheet1!$B:$B,0), 1)</f>
        <v>Eugenol</v>
      </c>
      <c r="L929" t="str">
        <f>INDEX([1]Sheet1!$A$1:$G$108, MATCH(B929,[1]Sheet1!$B:$B,0), 3)</f>
        <v>weak</v>
      </c>
      <c r="M929" t="s">
        <v>109</v>
      </c>
    </row>
    <row r="930" spans="1:13" x14ac:dyDescent="0.3">
      <c r="A930" t="s">
        <v>102</v>
      </c>
      <c r="B930" t="str">
        <f>_xlfn.TEXTBEFORE(_xlfn.TEXTAFTER(A930,"cas-"),"_")</f>
        <v>97-53-0</v>
      </c>
      <c r="C930" t="s">
        <v>17</v>
      </c>
      <c r="D930" t="s">
        <v>11</v>
      </c>
      <c r="E930" t="s">
        <v>12</v>
      </c>
      <c r="F930">
        <v>-6.17</v>
      </c>
      <c r="G930">
        <v>0.81540000000000001</v>
      </c>
      <c r="H930">
        <v>5.3620000000000001</v>
      </c>
      <c r="I930">
        <v>4.3721747999999998</v>
      </c>
      <c r="K930" t="str">
        <f>INDEX([1]Sheet1!$A$1:$G$108, MATCH(B930,[1]Sheet1!$B:$B,0), 1)</f>
        <v>Eugenol</v>
      </c>
      <c r="L930" t="str">
        <f>INDEX([1]Sheet1!$A$1:$G$108, MATCH(B930,[1]Sheet1!$B:$B,0), 3)</f>
        <v>weak</v>
      </c>
      <c r="M930" t="s">
        <v>109</v>
      </c>
    </row>
    <row r="931" spans="1:13" x14ac:dyDescent="0.3">
      <c r="A931" t="s">
        <v>102</v>
      </c>
      <c r="B931" t="str">
        <f>_xlfn.TEXTBEFORE(_xlfn.TEXTAFTER(A931,"cas-"),"_")</f>
        <v>97-53-0</v>
      </c>
      <c r="C931" t="s">
        <v>13</v>
      </c>
      <c r="D931" t="s">
        <v>14</v>
      </c>
      <c r="E931" t="s">
        <v>12</v>
      </c>
      <c r="F931">
        <v>-5.85</v>
      </c>
      <c r="G931">
        <v>0.78129999999999999</v>
      </c>
      <c r="H931">
        <v>5.2489999999999997</v>
      </c>
      <c r="I931">
        <v>4.1010437</v>
      </c>
      <c r="K931" t="str">
        <f>INDEX([1]Sheet1!$A$1:$G$108, MATCH(B931,[1]Sheet1!$B:$B,0), 1)</f>
        <v>Eugenol</v>
      </c>
      <c r="L931" t="str">
        <f>INDEX([1]Sheet1!$A$1:$G$108, MATCH(B931,[1]Sheet1!$B:$B,0), 3)</f>
        <v>weak</v>
      </c>
      <c r="M931" t="s">
        <v>109</v>
      </c>
    </row>
    <row r="932" spans="1:13" x14ac:dyDescent="0.3">
      <c r="A932" t="s">
        <v>102</v>
      </c>
      <c r="B932" t="str">
        <f>_xlfn.TEXTBEFORE(_xlfn.TEXTAFTER(A932,"cas-"),"_")</f>
        <v>97-53-0</v>
      </c>
      <c r="C932" t="s">
        <v>21</v>
      </c>
      <c r="D932" t="s">
        <v>11</v>
      </c>
      <c r="E932" t="s">
        <v>12</v>
      </c>
      <c r="F932">
        <v>-5.78</v>
      </c>
      <c r="G932">
        <v>0.78200000000000003</v>
      </c>
      <c r="H932">
        <v>5.24</v>
      </c>
      <c r="I932">
        <v>4.0976800000000004</v>
      </c>
      <c r="K932" t="str">
        <f>INDEX([1]Sheet1!$A$1:$G$108, MATCH(B932,[1]Sheet1!$B:$B,0), 1)</f>
        <v>Eugenol</v>
      </c>
      <c r="L932" t="str">
        <f>INDEX([1]Sheet1!$A$1:$G$108, MATCH(B932,[1]Sheet1!$B:$B,0), 3)</f>
        <v>weak</v>
      </c>
      <c r="M932" t="s">
        <v>109</v>
      </c>
    </row>
    <row r="933" spans="1:13" x14ac:dyDescent="0.3">
      <c r="A933" t="s">
        <v>102</v>
      </c>
      <c r="B933" t="str">
        <f>_xlfn.TEXTBEFORE(_xlfn.TEXTAFTER(A933,"cas-"),"_")</f>
        <v>97-53-0</v>
      </c>
      <c r="C933" t="s">
        <v>15</v>
      </c>
      <c r="D933" t="s">
        <v>16</v>
      </c>
      <c r="E933" t="s">
        <v>12</v>
      </c>
      <c r="F933">
        <v>-5.92</v>
      </c>
      <c r="G933">
        <v>0.80740000000000001</v>
      </c>
      <c r="H933">
        <v>5.2859999999999996</v>
      </c>
      <c r="I933">
        <v>4.2679163999999998</v>
      </c>
      <c r="K933" t="str">
        <f>INDEX([1]Sheet1!$A$1:$G$108, MATCH(B933,[1]Sheet1!$B:$B,0), 1)</f>
        <v>Eugenol</v>
      </c>
      <c r="L933" t="str">
        <f>INDEX([1]Sheet1!$A$1:$G$108, MATCH(B933,[1]Sheet1!$B:$B,0), 3)</f>
        <v>weak</v>
      </c>
      <c r="M933" t="s">
        <v>109</v>
      </c>
    </row>
    <row r="934" spans="1:13" x14ac:dyDescent="0.3">
      <c r="A934" t="s">
        <v>102</v>
      </c>
      <c r="B934" t="str">
        <f>_xlfn.TEXTBEFORE(_xlfn.TEXTAFTER(A934,"cas-"),"_")</f>
        <v>97-53-0</v>
      </c>
      <c r="C934" t="s">
        <v>22</v>
      </c>
      <c r="D934" t="s">
        <v>23</v>
      </c>
      <c r="E934" t="s">
        <v>12</v>
      </c>
      <c r="F934">
        <v>-5.48</v>
      </c>
      <c r="G934">
        <v>0.78939999999999999</v>
      </c>
      <c r="H934">
        <v>5.8330000000000002</v>
      </c>
      <c r="I934">
        <v>4.6045702000000004</v>
      </c>
      <c r="K934" t="str">
        <f>INDEX([1]Sheet1!$A$1:$G$108, MATCH(B934,[1]Sheet1!$B:$B,0), 1)</f>
        <v>Eugenol</v>
      </c>
      <c r="L934" t="str">
        <f>INDEX([1]Sheet1!$A$1:$G$108, MATCH(B934,[1]Sheet1!$B:$B,0), 3)</f>
        <v>weak</v>
      </c>
      <c r="M934" t="s">
        <v>109</v>
      </c>
    </row>
    <row r="935" spans="1:13" x14ac:dyDescent="0.3">
      <c r="A935" t="s">
        <v>102</v>
      </c>
      <c r="B935" t="str">
        <f>_xlfn.TEXTBEFORE(_xlfn.TEXTAFTER(A935,"cas-"),"_")</f>
        <v>97-53-0</v>
      </c>
      <c r="C935" t="s">
        <v>19</v>
      </c>
      <c r="D935" t="s">
        <v>20</v>
      </c>
      <c r="E935" t="s">
        <v>12</v>
      </c>
      <c r="F935">
        <v>-6.02</v>
      </c>
      <c r="G935">
        <v>0.75380000000000003</v>
      </c>
      <c r="H935">
        <v>5.52</v>
      </c>
      <c r="I935">
        <v>4.1609759999999998</v>
      </c>
      <c r="K935" t="str">
        <f>INDEX([1]Sheet1!$A$1:$G$108, MATCH(B935,[1]Sheet1!$B:$B,0), 1)</f>
        <v>Eugenol</v>
      </c>
      <c r="L935" t="str">
        <f>INDEX([1]Sheet1!$A$1:$G$108, MATCH(B935,[1]Sheet1!$B:$B,0), 3)</f>
        <v>weak</v>
      </c>
      <c r="M935" t="s">
        <v>109</v>
      </c>
    </row>
    <row r="936" spans="1:13" x14ac:dyDescent="0.3">
      <c r="A936" t="s">
        <v>102</v>
      </c>
      <c r="B936" t="str">
        <f>_xlfn.TEXTBEFORE(_xlfn.TEXTAFTER(A936,"cas-"),"_")</f>
        <v>97-53-0</v>
      </c>
      <c r="C936" t="s">
        <v>28</v>
      </c>
      <c r="D936" t="s">
        <v>29</v>
      </c>
      <c r="E936" t="s">
        <v>12</v>
      </c>
      <c r="F936">
        <v>-5.62</v>
      </c>
      <c r="G936">
        <v>0.78739999999999999</v>
      </c>
      <c r="H936">
        <v>5.2939999999999996</v>
      </c>
      <c r="I936">
        <v>4.1684956</v>
      </c>
      <c r="K936" t="str">
        <f>INDEX([1]Sheet1!$A$1:$G$108, MATCH(B936,[1]Sheet1!$B:$B,0), 1)</f>
        <v>Eugenol</v>
      </c>
      <c r="L936" t="str">
        <f>INDEX([1]Sheet1!$A$1:$G$108, MATCH(B936,[1]Sheet1!$B:$B,0), 3)</f>
        <v>weak</v>
      </c>
      <c r="M936" t="s">
        <v>109</v>
      </c>
    </row>
    <row r="937" spans="1:13" x14ac:dyDescent="0.3">
      <c r="A937" t="s">
        <v>102</v>
      </c>
      <c r="B937" t="str">
        <f>_xlfn.TEXTBEFORE(_xlfn.TEXTAFTER(A937,"cas-"),"_")</f>
        <v>97-53-0</v>
      </c>
      <c r="C937" t="s">
        <v>27</v>
      </c>
      <c r="D937" t="s">
        <v>11</v>
      </c>
      <c r="E937" t="s">
        <v>12</v>
      </c>
      <c r="F937">
        <v>-6.02</v>
      </c>
      <c r="G937">
        <v>0.88100000000000001</v>
      </c>
      <c r="H937">
        <v>5.4980000000000002</v>
      </c>
      <c r="I937">
        <v>4.8437380000000001</v>
      </c>
      <c r="K937" t="str">
        <f>INDEX([1]Sheet1!$A$1:$G$108, MATCH(B937,[1]Sheet1!$B:$B,0), 1)</f>
        <v>Eugenol</v>
      </c>
      <c r="L937" t="str">
        <f>INDEX([1]Sheet1!$A$1:$G$108, MATCH(B937,[1]Sheet1!$B:$B,0), 3)</f>
        <v>weak</v>
      </c>
      <c r="M937" t="s">
        <v>109</v>
      </c>
    </row>
    <row r="938" spans="1:13" x14ac:dyDescent="0.3">
      <c r="A938" t="s">
        <v>103</v>
      </c>
      <c r="B938" t="str">
        <f>_xlfn.TEXTBEFORE(_xlfn.TEXTAFTER(A938,"cas-"),"_")</f>
        <v>98-54-4</v>
      </c>
      <c r="C938" t="s">
        <v>17</v>
      </c>
      <c r="D938" t="s">
        <v>11</v>
      </c>
      <c r="E938" t="s">
        <v>12</v>
      </c>
      <c r="F938">
        <v>-6.56</v>
      </c>
      <c r="G938">
        <v>0.88349999999999995</v>
      </c>
      <c r="H938">
        <v>5.8949999999999996</v>
      </c>
      <c r="I938">
        <v>5.2082324999999994</v>
      </c>
      <c r="K938" t="str">
        <f>INDEX([1]Sheet1!$A$1:$G$108, MATCH(B938,[1]Sheet1!$B:$B,0), 1)</f>
        <v>4-tert-Butylphenol</v>
      </c>
      <c r="L938" t="str">
        <f>INDEX([1]Sheet1!$A$1:$G$108, MATCH(B938,[1]Sheet1!$B:$B,0), 3)</f>
        <v>weak</v>
      </c>
      <c r="M938" t="s">
        <v>109</v>
      </c>
    </row>
    <row r="939" spans="1:13" x14ac:dyDescent="0.3">
      <c r="A939" t="s">
        <v>103</v>
      </c>
      <c r="B939" t="str">
        <f>_xlfn.TEXTBEFORE(_xlfn.TEXTAFTER(A939,"cas-"),"_")</f>
        <v>98-54-4</v>
      </c>
      <c r="C939" t="s">
        <v>27</v>
      </c>
      <c r="D939" t="s">
        <v>11</v>
      </c>
      <c r="E939" t="s">
        <v>12</v>
      </c>
      <c r="F939">
        <v>-6.89</v>
      </c>
      <c r="G939">
        <v>0.88929999999999998</v>
      </c>
      <c r="H939">
        <v>5.91</v>
      </c>
      <c r="I939">
        <v>5.255763</v>
      </c>
      <c r="K939" t="str">
        <f>INDEX([1]Sheet1!$A$1:$G$108, MATCH(B939,[1]Sheet1!$B:$B,0), 1)</f>
        <v>4-tert-Butylphenol</v>
      </c>
      <c r="L939" t="str">
        <f>INDEX([1]Sheet1!$A$1:$G$108, MATCH(B939,[1]Sheet1!$B:$B,0), 3)</f>
        <v>weak</v>
      </c>
      <c r="M939" t="s">
        <v>109</v>
      </c>
    </row>
    <row r="940" spans="1:13" x14ac:dyDescent="0.3">
      <c r="A940" t="s">
        <v>103</v>
      </c>
      <c r="B940" t="str">
        <f>_xlfn.TEXTBEFORE(_xlfn.TEXTAFTER(A940,"cas-"),"_")</f>
        <v>98-54-4</v>
      </c>
      <c r="C940" t="s">
        <v>10</v>
      </c>
      <c r="D940" t="s">
        <v>11</v>
      </c>
      <c r="E940" t="s">
        <v>12</v>
      </c>
      <c r="F940">
        <v>-6.44</v>
      </c>
      <c r="G940">
        <v>0.90249999999999997</v>
      </c>
      <c r="H940">
        <v>6.2619999999999996</v>
      </c>
      <c r="I940">
        <v>5.6514549999999986</v>
      </c>
      <c r="K940" t="str">
        <f>INDEX([1]Sheet1!$A$1:$G$108, MATCH(B940,[1]Sheet1!$B:$B,0), 1)</f>
        <v>4-tert-Butylphenol</v>
      </c>
      <c r="L940" t="str">
        <f>INDEX([1]Sheet1!$A$1:$G$108, MATCH(B940,[1]Sheet1!$B:$B,0), 3)</f>
        <v>weak</v>
      </c>
      <c r="M940" t="s">
        <v>109</v>
      </c>
    </row>
    <row r="941" spans="1:13" x14ac:dyDescent="0.3">
      <c r="A941" t="s">
        <v>103</v>
      </c>
      <c r="B941" t="str">
        <f>_xlfn.TEXTBEFORE(_xlfn.TEXTAFTER(A941,"cas-"),"_")</f>
        <v>98-54-4</v>
      </c>
      <c r="C941" t="s">
        <v>19</v>
      </c>
      <c r="D941" t="s">
        <v>20</v>
      </c>
      <c r="E941" t="s">
        <v>12</v>
      </c>
      <c r="F941">
        <v>-6.45</v>
      </c>
      <c r="G941">
        <v>0.89839999999999998</v>
      </c>
      <c r="H941">
        <v>6.0979999999999999</v>
      </c>
      <c r="I941">
        <v>5.4784432000000001</v>
      </c>
      <c r="K941" t="str">
        <f>INDEX([1]Sheet1!$A$1:$G$108, MATCH(B941,[1]Sheet1!$B:$B,0), 1)</f>
        <v>4-tert-Butylphenol</v>
      </c>
      <c r="L941" t="str">
        <f>INDEX([1]Sheet1!$A$1:$G$108, MATCH(B941,[1]Sheet1!$B:$B,0), 3)</f>
        <v>weak</v>
      </c>
      <c r="M941" t="s">
        <v>109</v>
      </c>
    </row>
    <row r="942" spans="1:13" x14ac:dyDescent="0.3">
      <c r="A942" t="s">
        <v>103</v>
      </c>
      <c r="B942" t="str">
        <f>_xlfn.TEXTBEFORE(_xlfn.TEXTAFTER(A942,"cas-"),"_")</f>
        <v>98-54-4</v>
      </c>
      <c r="C942" t="s">
        <v>22</v>
      </c>
      <c r="D942" t="s">
        <v>23</v>
      </c>
      <c r="E942" t="s">
        <v>12</v>
      </c>
      <c r="F942">
        <v>-6.2</v>
      </c>
      <c r="G942">
        <v>0.89419999999999999</v>
      </c>
      <c r="H942">
        <v>6.0720000000000001</v>
      </c>
      <c r="I942">
        <v>5.4295824000000001</v>
      </c>
      <c r="K942" t="str">
        <f>INDEX([1]Sheet1!$A$1:$G$108, MATCH(B942,[1]Sheet1!$B:$B,0), 1)</f>
        <v>4-tert-Butylphenol</v>
      </c>
      <c r="L942" t="str">
        <f>INDEX([1]Sheet1!$A$1:$G$108, MATCH(B942,[1]Sheet1!$B:$B,0), 3)</f>
        <v>weak</v>
      </c>
      <c r="M942" t="s">
        <v>109</v>
      </c>
    </row>
    <row r="943" spans="1:13" x14ac:dyDescent="0.3">
      <c r="A943" t="s">
        <v>103</v>
      </c>
      <c r="B943" t="str">
        <f>_xlfn.TEXTBEFORE(_xlfn.TEXTAFTER(A943,"cas-"),"_")</f>
        <v>98-54-4</v>
      </c>
      <c r="C943" t="s">
        <v>30</v>
      </c>
      <c r="D943" t="s">
        <v>31</v>
      </c>
      <c r="E943" t="s">
        <v>12</v>
      </c>
      <c r="F943">
        <v>-6.17</v>
      </c>
      <c r="G943">
        <v>0.91820000000000002</v>
      </c>
      <c r="H943">
        <v>6.2690000000000001</v>
      </c>
      <c r="I943">
        <v>5.7561958000000004</v>
      </c>
      <c r="K943" t="str">
        <f>INDEX([1]Sheet1!$A$1:$G$108, MATCH(B943,[1]Sheet1!$B:$B,0), 1)</f>
        <v>4-tert-Butylphenol</v>
      </c>
      <c r="L943" t="str">
        <f>INDEX([1]Sheet1!$A$1:$G$108, MATCH(B943,[1]Sheet1!$B:$B,0), 3)</f>
        <v>weak</v>
      </c>
      <c r="M943" t="s">
        <v>109</v>
      </c>
    </row>
    <row r="944" spans="1:13" x14ac:dyDescent="0.3">
      <c r="A944" t="s">
        <v>103</v>
      </c>
      <c r="B944" t="str">
        <f>_xlfn.TEXTBEFORE(_xlfn.TEXTAFTER(A944,"cas-"),"_")</f>
        <v>98-54-4</v>
      </c>
      <c r="C944" t="s">
        <v>18</v>
      </c>
      <c r="D944" t="s">
        <v>11</v>
      </c>
      <c r="E944" t="s">
        <v>12</v>
      </c>
      <c r="F944">
        <v>-6.39</v>
      </c>
      <c r="G944">
        <v>0.88229999999999997</v>
      </c>
      <c r="H944">
        <v>5.6020000000000003</v>
      </c>
      <c r="I944">
        <v>4.9426446000000004</v>
      </c>
      <c r="K944" t="str">
        <f>INDEX([1]Sheet1!$A$1:$G$108, MATCH(B944,[1]Sheet1!$B:$B,0), 1)</f>
        <v>4-tert-Butylphenol</v>
      </c>
      <c r="L944" t="str">
        <f>INDEX([1]Sheet1!$A$1:$G$108, MATCH(B944,[1]Sheet1!$B:$B,0), 3)</f>
        <v>weak</v>
      </c>
      <c r="M944" t="s">
        <v>109</v>
      </c>
    </row>
    <row r="945" spans="1:13" x14ac:dyDescent="0.3">
      <c r="A945" t="s">
        <v>103</v>
      </c>
      <c r="B945" t="str">
        <f>_xlfn.TEXTBEFORE(_xlfn.TEXTAFTER(A945,"cas-"),"_")</f>
        <v>98-54-4</v>
      </c>
      <c r="C945" t="s">
        <v>13</v>
      </c>
      <c r="D945" t="s">
        <v>14</v>
      </c>
      <c r="E945" t="s">
        <v>12</v>
      </c>
      <c r="F945">
        <v>-6.5</v>
      </c>
      <c r="G945">
        <v>0.92530000000000001</v>
      </c>
      <c r="H945">
        <v>5.5759999999999996</v>
      </c>
      <c r="I945">
        <v>5.1594727999999996</v>
      </c>
      <c r="K945" t="str">
        <f>INDEX([1]Sheet1!$A$1:$G$108, MATCH(B945,[1]Sheet1!$B:$B,0), 1)</f>
        <v>4-tert-Butylphenol</v>
      </c>
      <c r="L945" t="str">
        <f>INDEX([1]Sheet1!$A$1:$G$108, MATCH(B945,[1]Sheet1!$B:$B,0), 3)</f>
        <v>weak</v>
      </c>
      <c r="M945" t="s">
        <v>109</v>
      </c>
    </row>
    <row r="946" spans="1:13" x14ac:dyDescent="0.3">
      <c r="A946" t="s">
        <v>103</v>
      </c>
      <c r="B946" t="str">
        <f>_xlfn.TEXTBEFORE(_xlfn.TEXTAFTER(A946,"cas-"),"_")</f>
        <v>98-54-4</v>
      </c>
      <c r="C946" t="s">
        <v>21</v>
      </c>
      <c r="D946" t="s">
        <v>11</v>
      </c>
      <c r="E946" t="s">
        <v>12</v>
      </c>
      <c r="F946">
        <v>-6.31</v>
      </c>
      <c r="G946">
        <v>0.91039999999999999</v>
      </c>
      <c r="H946">
        <v>5.468</v>
      </c>
      <c r="I946">
        <v>4.9780671999999999</v>
      </c>
      <c r="K946" t="str">
        <f>INDEX([1]Sheet1!$A$1:$G$108, MATCH(B946,[1]Sheet1!$B:$B,0), 1)</f>
        <v>4-tert-Butylphenol</v>
      </c>
      <c r="L946" t="str">
        <f>INDEX([1]Sheet1!$A$1:$G$108, MATCH(B946,[1]Sheet1!$B:$B,0), 3)</f>
        <v>weak</v>
      </c>
      <c r="M946" t="s">
        <v>109</v>
      </c>
    </row>
    <row r="947" spans="1:13" x14ac:dyDescent="0.3">
      <c r="A947" t="s">
        <v>103</v>
      </c>
      <c r="B947" t="str">
        <f>_xlfn.TEXTBEFORE(_xlfn.TEXTAFTER(A947,"cas-"),"_")</f>
        <v>98-54-4</v>
      </c>
      <c r="C947" t="s">
        <v>24</v>
      </c>
      <c r="D947" t="s">
        <v>25</v>
      </c>
      <c r="E947" t="s">
        <v>12</v>
      </c>
      <c r="F947">
        <v>-6.4</v>
      </c>
      <c r="G947">
        <v>0.86180000000000001</v>
      </c>
      <c r="H947">
        <v>5.6459999999999999</v>
      </c>
      <c r="I947">
        <v>4.8657228000000003</v>
      </c>
      <c r="K947" t="str">
        <f>INDEX([1]Sheet1!$A$1:$G$108, MATCH(B947,[1]Sheet1!$B:$B,0), 1)</f>
        <v>4-tert-Butylphenol</v>
      </c>
      <c r="L947" t="str">
        <f>INDEX([1]Sheet1!$A$1:$G$108, MATCH(B947,[1]Sheet1!$B:$B,0), 3)</f>
        <v>weak</v>
      </c>
      <c r="M947" t="s">
        <v>109</v>
      </c>
    </row>
    <row r="948" spans="1:13" x14ac:dyDescent="0.3">
      <c r="A948" t="s">
        <v>103</v>
      </c>
      <c r="B948" t="str">
        <f>_xlfn.TEXTBEFORE(_xlfn.TEXTAFTER(A948,"cas-"),"_")</f>
        <v>98-54-4</v>
      </c>
      <c r="C948" t="s">
        <v>28</v>
      </c>
      <c r="D948" t="s">
        <v>29</v>
      </c>
      <c r="E948" t="s">
        <v>12</v>
      </c>
      <c r="F948">
        <v>-6.23</v>
      </c>
      <c r="G948">
        <v>0.8982</v>
      </c>
      <c r="H948">
        <v>5.9729999999999999</v>
      </c>
      <c r="I948">
        <v>5.3649486</v>
      </c>
      <c r="K948" t="str">
        <f>INDEX([1]Sheet1!$A$1:$G$108, MATCH(B948,[1]Sheet1!$B:$B,0), 1)</f>
        <v>4-tert-Butylphenol</v>
      </c>
      <c r="L948" t="str">
        <f>INDEX([1]Sheet1!$A$1:$G$108, MATCH(B948,[1]Sheet1!$B:$B,0), 3)</f>
        <v>weak</v>
      </c>
      <c r="M948" t="s">
        <v>109</v>
      </c>
    </row>
    <row r="949" spans="1:13" x14ac:dyDescent="0.3">
      <c r="A949" t="s">
        <v>103</v>
      </c>
      <c r="B949" t="str">
        <f>_xlfn.TEXTBEFORE(_xlfn.TEXTAFTER(A949,"cas-"),"_")</f>
        <v>98-54-4</v>
      </c>
      <c r="C949" t="s">
        <v>26</v>
      </c>
      <c r="D949" t="s">
        <v>14</v>
      </c>
      <c r="E949" t="s">
        <v>12</v>
      </c>
      <c r="F949">
        <v>-6.38</v>
      </c>
      <c r="G949">
        <v>0.90290000000000004</v>
      </c>
      <c r="H949">
        <v>5.9039999999999999</v>
      </c>
      <c r="I949">
        <v>5.3307216000000004</v>
      </c>
      <c r="K949" t="str">
        <f>INDEX([1]Sheet1!$A$1:$G$108, MATCH(B949,[1]Sheet1!$B:$B,0), 1)</f>
        <v>4-tert-Butylphenol</v>
      </c>
      <c r="L949" t="str">
        <f>INDEX([1]Sheet1!$A$1:$G$108, MATCH(B949,[1]Sheet1!$B:$B,0), 3)</f>
        <v>weak</v>
      </c>
      <c r="M949" t="s">
        <v>109</v>
      </c>
    </row>
    <row r="950" spans="1:13" x14ac:dyDescent="0.3">
      <c r="A950" t="s">
        <v>103</v>
      </c>
      <c r="B950" t="str">
        <f>_xlfn.TEXTBEFORE(_xlfn.TEXTAFTER(A950,"cas-"),"_")</f>
        <v>98-54-4</v>
      </c>
      <c r="C950" t="s">
        <v>15</v>
      </c>
      <c r="D950" t="s">
        <v>16</v>
      </c>
      <c r="E950" t="s">
        <v>12</v>
      </c>
      <c r="F950">
        <v>-6.64</v>
      </c>
      <c r="G950">
        <v>0.86739999999999995</v>
      </c>
      <c r="H950">
        <v>6.0339999999999998</v>
      </c>
      <c r="I950">
        <v>5.2338915999999998</v>
      </c>
      <c r="K950" t="str">
        <f>INDEX([1]Sheet1!$A$1:$G$108, MATCH(B950,[1]Sheet1!$B:$B,0), 1)</f>
        <v>4-tert-Butylphenol</v>
      </c>
      <c r="L950" t="str">
        <f>INDEX([1]Sheet1!$A$1:$G$108, MATCH(B950,[1]Sheet1!$B:$B,0), 3)</f>
        <v>weak</v>
      </c>
      <c r="M950" t="s">
        <v>109</v>
      </c>
    </row>
    <row r="951" spans="1:13" x14ac:dyDescent="0.3">
      <c r="A951" t="s">
        <v>104</v>
      </c>
      <c r="B951" t="str">
        <f>_xlfn.TEXTBEFORE(_xlfn.TEXTAFTER(A951,"cas-"),"_")</f>
        <v>99-71-8</v>
      </c>
      <c r="C951" t="s">
        <v>26</v>
      </c>
      <c r="D951" t="s">
        <v>14</v>
      </c>
      <c r="E951" t="s">
        <v>12</v>
      </c>
      <c r="F951">
        <v>-6.25</v>
      </c>
      <c r="G951">
        <v>0.92330000000000001</v>
      </c>
      <c r="H951">
        <v>5.9950000000000001</v>
      </c>
      <c r="I951">
        <v>5.5351834999999996</v>
      </c>
      <c r="K951" t="str">
        <f>INDEX([1]Sheet1!$A$1:$G$108, MATCH(B951,[1]Sheet1!$B:$B,0), 1)</f>
        <v>4-sec-Butylphenol</v>
      </c>
      <c r="L951" t="str">
        <f>INDEX([1]Sheet1!$A$1:$G$108, MATCH(B951,[1]Sheet1!$B:$B,0), 3)</f>
        <v>weak</v>
      </c>
      <c r="M951" t="s">
        <v>109</v>
      </c>
    </row>
    <row r="952" spans="1:13" x14ac:dyDescent="0.3">
      <c r="A952" t="s">
        <v>104</v>
      </c>
      <c r="B952" t="str">
        <f>_xlfn.TEXTBEFORE(_xlfn.TEXTAFTER(A952,"cas-"),"_")</f>
        <v>99-71-8</v>
      </c>
      <c r="C952" t="s">
        <v>30</v>
      </c>
      <c r="D952" t="s">
        <v>31</v>
      </c>
      <c r="E952" t="s">
        <v>12</v>
      </c>
      <c r="F952">
        <v>-6.02</v>
      </c>
      <c r="G952">
        <v>0.92130000000000001</v>
      </c>
      <c r="H952">
        <v>6.0449999999999999</v>
      </c>
      <c r="I952">
        <v>5.5692585000000001</v>
      </c>
      <c r="K952" t="str">
        <f>INDEX([1]Sheet1!$A$1:$G$108, MATCH(B952,[1]Sheet1!$B:$B,0), 1)</f>
        <v>4-sec-Butylphenol</v>
      </c>
      <c r="L952" t="str">
        <f>INDEX([1]Sheet1!$A$1:$G$108, MATCH(B952,[1]Sheet1!$B:$B,0), 3)</f>
        <v>weak</v>
      </c>
      <c r="M952" t="s">
        <v>109</v>
      </c>
    </row>
    <row r="953" spans="1:13" x14ac:dyDescent="0.3">
      <c r="A953" t="s">
        <v>104</v>
      </c>
      <c r="B953" t="str">
        <f>_xlfn.TEXTBEFORE(_xlfn.TEXTAFTER(A953,"cas-"),"_")</f>
        <v>99-71-8</v>
      </c>
      <c r="C953" t="s">
        <v>24</v>
      </c>
      <c r="D953" t="s">
        <v>25</v>
      </c>
      <c r="E953" t="s">
        <v>12</v>
      </c>
      <c r="F953">
        <v>-6.11</v>
      </c>
      <c r="G953">
        <v>0.85909999999999997</v>
      </c>
      <c r="H953">
        <v>5.2549999999999999</v>
      </c>
      <c r="I953">
        <v>4.5145704999999996</v>
      </c>
      <c r="K953" t="str">
        <f>INDEX([1]Sheet1!$A$1:$G$108, MATCH(B953,[1]Sheet1!$B:$B,0), 1)</f>
        <v>4-sec-Butylphenol</v>
      </c>
      <c r="L953" t="str">
        <f>INDEX([1]Sheet1!$A$1:$G$108, MATCH(B953,[1]Sheet1!$B:$B,0), 3)</f>
        <v>weak</v>
      </c>
      <c r="M953" t="s">
        <v>109</v>
      </c>
    </row>
    <row r="954" spans="1:13" x14ac:dyDescent="0.3">
      <c r="A954" t="s">
        <v>104</v>
      </c>
      <c r="B954" t="str">
        <f>_xlfn.TEXTBEFORE(_xlfn.TEXTAFTER(A954,"cas-"),"_")</f>
        <v>99-71-8</v>
      </c>
      <c r="C954" t="s">
        <v>13</v>
      </c>
      <c r="D954" t="s">
        <v>14</v>
      </c>
      <c r="E954" t="s">
        <v>12</v>
      </c>
      <c r="F954">
        <v>-6.21</v>
      </c>
      <c r="G954">
        <v>0.9264</v>
      </c>
      <c r="H954">
        <v>5.601</v>
      </c>
      <c r="I954">
        <v>5.1887663999999996</v>
      </c>
      <c r="K954" t="str">
        <f>INDEX([1]Sheet1!$A$1:$G$108, MATCH(B954,[1]Sheet1!$B:$B,0), 1)</f>
        <v>4-sec-Butylphenol</v>
      </c>
      <c r="L954" t="str">
        <f>INDEX([1]Sheet1!$A$1:$G$108, MATCH(B954,[1]Sheet1!$B:$B,0), 3)</f>
        <v>weak</v>
      </c>
      <c r="M954" t="s">
        <v>109</v>
      </c>
    </row>
    <row r="955" spans="1:13" x14ac:dyDescent="0.3">
      <c r="A955" t="s">
        <v>104</v>
      </c>
      <c r="B955" t="str">
        <f>_xlfn.TEXTBEFORE(_xlfn.TEXTAFTER(A955,"cas-"),"_")</f>
        <v>99-71-8</v>
      </c>
      <c r="C955" t="s">
        <v>21</v>
      </c>
      <c r="D955" t="s">
        <v>11</v>
      </c>
      <c r="E955" t="s">
        <v>12</v>
      </c>
      <c r="F955">
        <v>-6.13</v>
      </c>
      <c r="G955">
        <v>0.91320000000000001</v>
      </c>
      <c r="H955">
        <v>5.4089999999999998</v>
      </c>
      <c r="I955">
        <v>4.9394988</v>
      </c>
      <c r="K955" t="str">
        <f>INDEX([1]Sheet1!$A$1:$G$108, MATCH(B955,[1]Sheet1!$B:$B,0), 1)</f>
        <v>4-sec-Butylphenol</v>
      </c>
      <c r="L955" t="str">
        <f>INDEX([1]Sheet1!$A$1:$G$108, MATCH(B955,[1]Sheet1!$B:$B,0), 3)</f>
        <v>weak</v>
      </c>
      <c r="M955" t="s">
        <v>109</v>
      </c>
    </row>
    <row r="956" spans="1:13" x14ac:dyDescent="0.3">
      <c r="A956" t="s">
        <v>104</v>
      </c>
      <c r="B956" t="str">
        <f>_xlfn.TEXTBEFORE(_xlfn.TEXTAFTER(A956,"cas-"),"_")</f>
        <v>99-71-8</v>
      </c>
      <c r="C956" t="s">
        <v>17</v>
      </c>
      <c r="D956" t="s">
        <v>11</v>
      </c>
      <c r="E956" t="s">
        <v>12</v>
      </c>
      <c r="F956">
        <v>-6.31</v>
      </c>
      <c r="G956">
        <v>0.89590000000000003</v>
      </c>
      <c r="H956">
        <v>5.7930000000000001</v>
      </c>
      <c r="I956">
        <v>5.1899487000000004</v>
      </c>
      <c r="K956" t="str">
        <f>INDEX([1]Sheet1!$A$1:$G$108, MATCH(B956,[1]Sheet1!$B:$B,0), 1)</f>
        <v>4-sec-Butylphenol</v>
      </c>
      <c r="L956" t="str">
        <f>INDEX([1]Sheet1!$A$1:$G$108, MATCH(B956,[1]Sheet1!$B:$B,0), 3)</f>
        <v>weak</v>
      </c>
      <c r="M956" t="s">
        <v>109</v>
      </c>
    </row>
    <row r="957" spans="1:13" x14ac:dyDescent="0.3">
      <c r="A957" t="s">
        <v>104</v>
      </c>
      <c r="B957" t="str">
        <f>_xlfn.TEXTBEFORE(_xlfn.TEXTAFTER(A957,"cas-"),"_")</f>
        <v>99-71-8</v>
      </c>
      <c r="C957" t="s">
        <v>28</v>
      </c>
      <c r="D957" t="s">
        <v>29</v>
      </c>
      <c r="E957" t="s">
        <v>12</v>
      </c>
      <c r="F957">
        <v>-6.13</v>
      </c>
      <c r="G957">
        <v>0.89939999999999998</v>
      </c>
      <c r="H957">
        <v>5.4569999999999999</v>
      </c>
      <c r="I957">
        <v>4.9080257999999999</v>
      </c>
      <c r="K957" t="str">
        <f>INDEX([1]Sheet1!$A$1:$G$108, MATCH(B957,[1]Sheet1!$B:$B,0), 1)</f>
        <v>4-sec-Butylphenol</v>
      </c>
      <c r="L957" t="str">
        <f>INDEX([1]Sheet1!$A$1:$G$108, MATCH(B957,[1]Sheet1!$B:$B,0), 3)</f>
        <v>weak</v>
      </c>
      <c r="M957" t="s">
        <v>109</v>
      </c>
    </row>
    <row r="958" spans="1:13" x14ac:dyDescent="0.3">
      <c r="A958" t="s">
        <v>104</v>
      </c>
      <c r="B958" t="str">
        <f>_xlfn.TEXTBEFORE(_xlfn.TEXTAFTER(A958,"cas-"),"_")</f>
        <v>99-71-8</v>
      </c>
      <c r="C958" t="s">
        <v>18</v>
      </c>
      <c r="D958" t="s">
        <v>11</v>
      </c>
      <c r="E958" t="s">
        <v>12</v>
      </c>
      <c r="F958">
        <v>-6.16</v>
      </c>
      <c r="G958">
        <v>0.90629999999999999</v>
      </c>
      <c r="H958">
        <v>5.6040000000000001</v>
      </c>
      <c r="I958">
        <v>5.0789052000000003</v>
      </c>
      <c r="K958" t="str">
        <f>INDEX([1]Sheet1!$A$1:$G$108, MATCH(B958,[1]Sheet1!$B:$B,0), 1)</f>
        <v>4-sec-Butylphenol</v>
      </c>
      <c r="L958" t="str">
        <f>INDEX([1]Sheet1!$A$1:$G$108, MATCH(B958,[1]Sheet1!$B:$B,0), 3)</f>
        <v>weak</v>
      </c>
      <c r="M958" t="s">
        <v>109</v>
      </c>
    </row>
    <row r="959" spans="1:13" x14ac:dyDescent="0.3">
      <c r="A959" t="s">
        <v>104</v>
      </c>
      <c r="B959" t="str">
        <f>_xlfn.TEXTBEFORE(_xlfn.TEXTAFTER(A959,"cas-"),"_")</f>
        <v>99-71-8</v>
      </c>
      <c r="C959" t="s">
        <v>15</v>
      </c>
      <c r="D959" t="s">
        <v>16</v>
      </c>
      <c r="E959" t="s">
        <v>12</v>
      </c>
      <c r="F959">
        <v>-6.48</v>
      </c>
      <c r="G959">
        <v>0.8911</v>
      </c>
      <c r="H959">
        <v>5.9960000000000004</v>
      </c>
      <c r="I959">
        <v>5.3430356000000003</v>
      </c>
      <c r="K959" t="str">
        <f>INDEX([1]Sheet1!$A$1:$G$108, MATCH(B959,[1]Sheet1!$B:$B,0), 1)</f>
        <v>4-sec-Butylphenol</v>
      </c>
      <c r="L959" t="str">
        <f>INDEX([1]Sheet1!$A$1:$G$108, MATCH(B959,[1]Sheet1!$B:$B,0), 3)</f>
        <v>weak</v>
      </c>
      <c r="M959" t="s">
        <v>109</v>
      </c>
    </row>
    <row r="960" spans="1:13" x14ac:dyDescent="0.3">
      <c r="A960" t="s">
        <v>104</v>
      </c>
      <c r="B960" t="str">
        <f>_xlfn.TEXTBEFORE(_xlfn.TEXTAFTER(A960,"cas-"),"_")</f>
        <v>99-71-8</v>
      </c>
      <c r="C960" t="s">
        <v>19</v>
      </c>
      <c r="D960" t="s">
        <v>20</v>
      </c>
      <c r="E960" t="s">
        <v>12</v>
      </c>
      <c r="F960">
        <v>-6.17</v>
      </c>
      <c r="G960">
        <v>0.89549999999999996</v>
      </c>
      <c r="H960">
        <v>6.1769999999999996</v>
      </c>
      <c r="I960">
        <v>5.5315034999999986</v>
      </c>
      <c r="K960" t="str">
        <f>INDEX([1]Sheet1!$A$1:$G$108, MATCH(B960,[1]Sheet1!$B:$B,0), 1)</f>
        <v>4-sec-Butylphenol</v>
      </c>
      <c r="L960" t="str">
        <f>INDEX([1]Sheet1!$A$1:$G$108, MATCH(B960,[1]Sheet1!$B:$B,0), 3)</f>
        <v>weak</v>
      </c>
      <c r="M960" t="s">
        <v>109</v>
      </c>
    </row>
    <row r="961" spans="1:13" x14ac:dyDescent="0.3">
      <c r="A961" t="s">
        <v>104</v>
      </c>
      <c r="B961" t="str">
        <f>_xlfn.TEXTBEFORE(_xlfn.TEXTAFTER(A961,"cas-"),"_")</f>
        <v>99-71-8</v>
      </c>
      <c r="C961" t="s">
        <v>27</v>
      </c>
      <c r="D961" t="s">
        <v>11</v>
      </c>
      <c r="E961" t="s">
        <v>12</v>
      </c>
      <c r="F961">
        <v>-6.22</v>
      </c>
      <c r="G961">
        <v>0.92169999999999996</v>
      </c>
      <c r="H961">
        <v>6.24</v>
      </c>
      <c r="I961">
        <v>5.7514079999999996</v>
      </c>
      <c r="K961" t="str">
        <f>INDEX([1]Sheet1!$A$1:$G$108, MATCH(B961,[1]Sheet1!$B:$B,0), 1)</f>
        <v>4-sec-Butylphenol</v>
      </c>
      <c r="L961" t="str">
        <f>INDEX([1]Sheet1!$A$1:$G$108, MATCH(B961,[1]Sheet1!$B:$B,0), 3)</f>
        <v>weak</v>
      </c>
      <c r="M961" t="s">
        <v>109</v>
      </c>
    </row>
    <row r="962" spans="1:13" x14ac:dyDescent="0.3">
      <c r="A962" t="s">
        <v>104</v>
      </c>
      <c r="B962" t="str">
        <f>_xlfn.TEXTBEFORE(_xlfn.TEXTAFTER(A962,"cas-"),"_")</f>
        <v>99-71-8</v>
      </c>
      <c r="C962" t="s">
        <v>22</v>
      </c>
      <c r="D962" t="s">
        <v>23</v>
      </c>
      <c r="E962" t="s">
        <v>12</v>
      </c>
      <c r="F962">
        <v>-6.07</v>
      </c>
      <c r="G962">
        <v>0.90539999999999998</v>
      </c>
      <c r="H962">
        <v>5.9720000000000004</v>
      </c>
      <c r="I962">
        <v>5.4070488000000001</v>
      </c>
      <c r="K962" t="str">
        <f>INDEX([1]Sheet1!$A$1:$G$108, MATCH(B962,[1]Sheet1!$B:$B,0), 1)</f>
        <v>4-sec-Butylphenol</v>
      </c>
      <c r="L962" t="str">
        <f>INDEX([1]Sheet1!$A$1:$G$108, MATCH(B962,[1]Sheet1!$B:$B,0), 3)</f>
        <v>weak</v>
      </c>
      <c r="M962" t="s">
        <v>109</v>
      </c>
    </row>
    <row r="963" spans="1:13" x14ac:dyDescent="0.3">
      <c r="A963" t="s">
        <v>104</v>
      </c>
      <c r="B963" t="str">
        <f>_xlfn.TEXTBEFORE(_xlfn.TEXTAFTER(A963,"cas-"),"_")</f>
        <v>99-71-8</v>
      </c>
      <c r="C963" t="s">
        <v>10</v>
      </c>
      <c r="D963" t="s">
        <v>11</v>
      </c>
      <c r="E963" t="s">
        <v>12</v>
      </c>
      <c r="F963">
        <v>-6.19</v>
      </c>
      <c r="G963">
        <v>0.89400000000000002</v>
      </c>
      <c r="H963">
        <v>5.6849999999999996</v>
      </c>
      <c r="I963">
        <v>5.0823900000000002</v>
      </c>
      <c r="K963" t="str">
        <f>INDEX([1]Sheet1!$A$1:$G$108, MATCH(B963,[1]Sheet1!$B:$B,0), 1)</f>
        <v>4-sec-Butylphenol</v>
      </c>
      <c r="L963" t="str">
        <f>INDEX([1]Sheet1!$A$1:$G$108, MATCH(B963,[1]Sheet1!$B:$B,0), 3)</f>
        <v>weak</v>
      </c>
      <c r="M963" t="s">
        <v>109</v>
      </c>
    </row>
  </sheetData>
  <autoFilter ref="A1:L9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 Faber</cp:lastModifiedBy>
  <dcterms:created xsi:type="dcterms:W3CDTF">2026-06-01T22:28:33Z</dcterms:created>
  <dcterms:modified xsi:type="dcterms:W3CDTF">2026-06-01T22:41:02Z</dcterms:modified>
</cp:coreProperties>
</file>