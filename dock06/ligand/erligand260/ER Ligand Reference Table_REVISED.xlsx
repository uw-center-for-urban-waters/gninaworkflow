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faberma\Downloads\"/>
    </mc:Choice>
  </mc:AlternateContent>
  <xr:revisionPtr revIDLastSave="0" documentId="8_{7B6B0079-3870-4F67-BC8F-3897388B5E7F}" xr6:coauthVersionLast="47" xr6:coauthVersionMax="47" xr10:uidLastSave="{00000000-0000-0000-0000-000000000000}"/>
  <bookViews>
    <workbookView xWindow="-108" yWindow="-108" windowWidth="23256" windowHeight="12456" xr2:uid="{14BF61CD-9AA0-4CE6-96D8-AF025CB2D28B}"/>
  </bookViews>
  <sheets>
    <sheet name="Sheet1" sheetId="1" r:id="rId1"/>
    <sheet name="Sheet4" sheetId="4" r:id="rId2"/>
    <sheet name="Sheet2" sheetId="2" r:id="rId3"/>
    <sheet name="Sheet3" sheetId="3" r:id="rId4"/>
  </sheets>
  <externalReferences>
    <externalReference r:id="rId5"/>
  </externalReferences>
  <definedNames>
    <definedName name="_xlnm._FilterDatabase" localSheetId="0" hidden="1">Sheet1!$A$1:$I$261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1" i="3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2" i="2"/>
  <c r="D3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1" i="2"/>
  <c r="C2" i="2"/>
  <c r="C3" i="2"/>
  <c r="C4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1" i="2"/>
  <c r="C1" i="2" s="1"/>
</calcChain>
</file>

<file path=xl/sharedStrings.xml><?xml version="1.0" encoding="utf-8"?>
<sst xmlns="http://schemas.openxmlformats.org/spreadsheetml/2006/main" count="2120" uniqueCount="594">
  <si>
    <t>Chem Name</t>
  </si>
  <si>
    <t>Cas Decimal</t>
  </si>
  <si>
    <t>RBA Determination</t>
  </si>
  <si>
    <t>Browne et al.</t>
  </si>
  <si>
    <t>Judson et al</t>
  </si>
  <si>
    <t>CERAPP_agonist</t>
  </si>
  <si>
    <t>CERAPP_antagonist</t>
  </si>
  <si>
    <t>EDKB_Classification</t>
  </si>
  <si>
    <t>UPDATED_CLASSIFICATION</t>
  </si>
  <si>
    <t>Changed from original database</t>
  </si>
  <si>
    <t>New From Brahnam</t>
  </si>
  <si>
    <t>new from Judson et al. 2015</t>
  </si>
  <si>
    <t>New from Blair et al 2000</t>
  </si>
  <si>
    <t>Ethynylestradiol</t>
  </si>
  <si>
    <t>57-63-6</t>
  </si>
  <si>
    <t>strong</t>
  </si>
  <si>
    <t>Strong</t>
  </si>
  <si>
    <t>active strong</t>
  </si>
  <si>
    <t>Hexestrol</t>
  </si>
  <si>
    <t>84-16-2</t>
  </si>
  <si>
    <t>Weak</t>
  </si>
  <si>
    <t>Diethylstilbestrol (DES)</t>
  </si>
  <si>
    <t>56-53-1</t>
  </si>
  <si>
    <t/>
  </si>
  <si>
    <t>Dienestrol</t>
  </si>
  <si>
    <t>84-17-3</t>
  </si>
  <si>
    <t>Estrone</t>
  </si>
  <si>
    <t>53-16-7</t>
  </si>
  <si>
    <t>moderate</t>
  </si>
  <si>
    <t>Mestranol</t>
  </si>
  <si>
    <t>72-33-3</t>
  </si>
  <si>
    <t>Moderate</t>
  </si>
  <si>
    <t>17a-Estradiol</t>
  </si>
  <si>
    <t>57-91-0</t>
  </si>
  <si>
    <t>Estriol</t>
  </si>
  <si>
    <t>50-27-1</t>
  </si>
  <si>
    <t>17b-Estradiol (E2)</t>
  </si>
  <si>
    <t>50-28-2</t>
  </si>
  <si>
    <t>Moxestrol</t>
  </si>
  <si>
    <t>34816-55-2</t>
  </si>
  <si>
    <t>Equilin</t>
  </si>
  <si>
    <t>474-86-2</t>
  </si>
  <si>
    <t>4-OH-Estradiol</t>
  </si>
  <si>
    <t>5976-61-4</t>
  </si>
  <si>
    <t>17-Deoxyestradiol</t>
  </si>
  <si>
    <t>53-63-4</t>
  </si>
  <si>
    <t>2-OH-Estradiol</t>
  </si>
  <si>
    <t>362-05-0</t>
  </si>
  <si>
    <t>Ethyl 4-hydroxybenzoate</t>
  </si>
  <si>
    <t>120-47-8</t>
  </si>
  <si>
    <t>weak</t>
  </si>
  <si>
    <t>veryweak</t>
  </si>
  <si>
    <t>VeryWeak</t>
  </si>
  <si>
    <t>active weak</t>
  </si>
  <si>
    <t>p,p'-DDE</t>
  </si>
  <si>
    <t>72-55-9</t>
  </si>
  <si>
    <t>inactive</t>
  </si>
  <si>
    <t>p,p'-Methoxychlor</t>
  </si>
  <si>
    <t>72-43-5</t>
  </si>
  <si>
    <t>o,p'-DDD</t>
  </si>
  <si>
    <t>53-19-0</t>
  </si>
  <si>
    <t>4-Chloro-3-methylphenol</t>
  </si>
  <si>
    <t>59-50-7</t>
  </si>
  <si>
    <t>Bis(2-hydroxyphenyl)methane</t>
  </si>
  <si>
    <t>207-13-4</t>
  </si>
  <si>
    <t>4-Chloro-2-methyl phenol</t>
  </si>
  <si>
    <t>1570-64-5</t>
  </si>
  <si>
    <t>Suspicious</t>
  </si>
  <si>
    <t>p,p'-DDD</t>
  </si>
  <si>
    <t>72-54-8</t>
  </si>
  <si>
    <t>Isoeugenol</t>
  </si>
  <si>
    <t>97-54-1</t>
  </si>
  <si>
    <t>Butylbenzylphthalate</t>
  </si>
  <si>
    <t>85-68-7</t>
  </si>
  <si>
    <t>2-Hydroxy biphenyl</t>
  </si>
  <si>
    <t>90-43-7</t>
  </si>
  <si>
    <t>Methyl 4-hydroxybenzoate</t>
  </si>
  <si>
    <t>99-76-3</t>
  </si>
  <si>
    <t>4-Hydroxybiphenyl</t>
  </si>
  <si>
    <t>92-69-3</t>
  </si>
  <si>
    <t>cinnamic acid</t>
  </si>
  <si>
    <t>140-10-3</t>
  </si>
  <si>
    <t>2-OH-4-Methoxy-benzophenone</t>
  </si>
  <si>
    <t>131-57-7</t>
  </si>
  <si>
    <t>Endosulfan</t>
  </si>
  <si>
    <t>115-29-7</t>
  </si>
  <si>
    <t>Triphenyl phosphate</t>
  </si>
  <si>
    <t>115-86-6</t>
  </si>
  <si>
    <t>4-Ethylphenol</t>
  </si>
  <si>
    <t>123-07-9</t>
  </si>
  <si>
    <t>di-i-Butyl phthalate (DIBP)</t>
  </si>
  <si>
    <t>84-69-5</t>
  </si>
  <si>
    <t>Epitestesterone</t>
  </si>
  <si>
    <t>481-30-1</t>
  </si>
  <si>
    <t>di-n-Butyl phthalate (DBuP)</t>
  </si>
  <si>
    <t>84-74-2</t>
  </si>
  <si>
    <t>Inactive</t>
  </si>
  <si>
    <t>17b-Hydroxyetiocholan-3-one</t>
  </si>
  <si>
    <t>571-22-2</t>
  </si>
  <si>
    <t>Chrysene</t>
  </si>
  <si>
    <t>218-01-9</t>
  </si>
  <si>
    <t>"2,4-Hydroxybenzophenone"</t>
  </si>
  <si>
    <t>131-56-6</t>
  </si>
  <si>
    <t>Phenol red</t>
  </si>
  <si>
    <t>143-74-8</t>
  </si>
  <si>
    <t>Lindane (gama-HCH)</t>
  </si>
  <si>
    <t>58-89-9</t>
  </si>
  <si>
    <t>Dieldrin</t>
  </si>
  <si>
    <t>60-57-1</t>
  </si>
  <si>
    <t>Dexamethasone</t>
  </si>
  <si>
    <t>50-02-2</t>
  </si>
  <si>
    <t>Phenolphthalin</t>
  </si>
  <si>
    <t>81-90-3</t>
  </si>
  <si>
    <t>"4,4'-Sulfonyldiphenol"</t>
  </si>
  <si>
    <t>80-09-1</t>
  </si>
  <si>
    <t>"4,4'-Dichlorobiphenyl"</t>
  </si>
  <si>
    <t>2050-68-2</t>
  </si>
  <si>
    <t>Dihydrotestosterone</t>
  </si>
  <si>
    <t>521-18-6</t>
  </si>
  <si>
    <t>4-n-Octylphenol</t>
  </si>
  <si>
    <t>1806-26-4</t>
  </si>
  <si>
    <t>3a-Androstanediol</t>
  </si>
  <si>
    <t>1852-53-5</t>
  </si>
  <si>
    <t>Doisynoestrol</t>
  </si>
  <si>
    <t>15372-34-6</t>
  </si>
  <si>
    <t>4-Heptyloxyphenol</t>
  </si>
  <si>
    <t>13037-86-0</t>
  </si>
  <si>
    <t>4-Amino butylbenzoate</t>
  </si>
  <si>
    <t>94-25-7</t>
  </si>
  <si>
    <t>Heptyl p-hydroxybenzoate</t>
  </si>
  <si>
    <t>1085-12-7</t>
  </si>
  <si>
    <t>p-Cumyl phenol</t>
  </si>
  <si>
    <t>599-64-4</t>
  </si>
  <si>
    <t>Cholesterol</t>
  </si>
  <si>
    <t>57-88-5</t>
  </si>
  <si>
    <t>n-Butyl 4-hydroxybenzoate</t>
  </si>
  <si>
    <t>94-26-8</t>
  </si>
  <si>
    <t>4-tert-Butylphenol</t>
  </si>
  <si>
    <t>98-54-4</t>
  </si>
  <si>
    <t>Testosterone</t>
  </si>
  <si>
    <t>58-22-0</t>
  </si>
  <si>
    <t>4-Chloro-4'-biphenylol</t>
  </si>
  <si>
    <t>28034-99-3</t>
  </si>
  <si>
    <t>Corticosterone</t>
  </si>
  <si>
    <t>50-22-6</t>
  </si>
  <si>
    <t>Benzyl 4-hydroxybenzoate</t>
  </si>
  <si>
    <t>94-18-8</t>
  </si>
  <si>
    <t>"2,3-Benzofluorene"</t>
  </si>
  <si>
    <t>243-17-4</t>
  </si>
  <si>
    <t>3-Deoxy-estrone</t>
  </si>
  <si>
    <t>53-45-2</t>
  </si>
  <si>
    <t>Vanillin</t>
  </si>
  <si>
    <t>121-33-5</t>
  </si>
  <si>
    <t>4-tert-Amylphenol</t>
  </si>
  <si>
    <t>80-46-6</t>
  </si>
  <si>
    <t>Eugenol</t>
  </si>
  <si>
    <t>97-53-0</t>
  </si>
  <si>
    <t>"p,p'-DDT"</t>
  </si>
  <si>
    <t>50-29-3</t>
  </si>
  <si>
    <t>Bisphenol A</t>
  </si>
  <si>
    <t>80-05-7</t>
  </si>
  <si>
    <t>2-Chloro-4-biphenylol</t>
  </si>
  <si>
    <t>92-04-6</t>
  </si>
  <si>
    <t>3-Phenylphenol</t>
  </si>
  <si>
    <t>580-51-8</t>
  </si>
  <si>
    <t>Trans-4-hydroxystilbene</t>
  </si>
  <si>
    <t>6554-98-9</t>
  </si>
  <si>
    <t>4-(Benzyloxyl)phenol</t>
  </si>
  <si>
    <t>103-16-2</t>
  </si>
  <si>
    <t>n-Propyl 4-hydroxybenzoate</t>
  </si>
  <si>
    <t>94-13-3</t>
  </si>
  <si>
    <t>Triphenylethylene</t>
  </si>
  <si>
    <t>58-72-0</t>
  </si>
  <si>
    <t>Sitosterol</t>
  </si>
  <si>
    <t>83-46-5</t>
  </si>
  <si>
    <t>"4,4'-Dihydoxy-benzophenone"</t>
  </si>
  <si>
    <t>611-99-4</t>
  </si>
  <si>
    <t>4-sec-Butylphenol</t>
  </si>
  <si>
    <t>99-71-8</t>
  </si>
  <si>
    <t>Diphenolic acid</t>
  </si>
  <si>
    <t>126-00-1</t>
  </si>
  <si>
    <t>"o,p'-DDT"</t>
  </si>
  <si>
    <t>789-02-6</t>
  </si>
  <si>
    <t>Progesterone</t>
  </si>
  <si>
    <t>57-83-0</t>
  </si>
  <si>
    <t>6a-OH-Estradiol</t>
  </si>
  <si>
    <t>1229-24-9</t>
  </si>
  <si>
    <t>active medium</t>
  </si>
  <si>
    <t>3-Deoxyestradiol</t>
  </si>
  <si>
    <t>2529-64-8</t>
  </si>
  <si>
    <t>"a,a-Dimethyl-b-ethyl allenolic acid"</t>
  </si>
  <si>
    <t>65118-81-2</t>
  </si>
  <si>
    <t>Nafoxidine</t>
  </si>
  <si>
    <t>1845-11-0</t>
  </si>
  <si>
    <t>Aurin</t>
  </si>
  <si>
    <t>603-45-2</t>
  </si>
  <si>
    <t>"2,2',4,4'-Tetrahydroxybenzil"</t>
  </si>
  <si>
    <t>5394-98-9</t>
  </si>
  <si>
    <t>Bisphenol B</t>
  </si>
  <si>
    <t>77-40-7</t>
  </si>
  <si>
    <t>"4,4'-Dihydroxystilbene"</t>
  </si>
  <si>
    <t>659-22-3</t>
  </si>
  <si>
    <t>4-t-Octylphenol</t>
  </si>
  <si>
    <t>140-66-9</t>
  </si>
  <si>
    <t>Nonylphenol</t>
  </si>
  <si>
    <t>25154-52-3</t>
  </si>
  <si>
    <t>HPTE</t>
  </si>
  <si>
    <t>2971-36-0</t>
  </si>
  <si>
    <t>Nordihydroguaiaretic acid</t>
  </si>
  <si>
    <t>500-38-9</t>
  </si>
  <si>
    <t>3-Methyl-estriol</t>
  </si>
  <si>
    <t>3434-79-5</t>
  </si>
  <si>
    <t>Norethynodrel</t>
  </si>
  <si>
    <t>68-23-5</t>
  </si>
  <si>
    <t>Clomiphene</t>
  </si>
  <si>
    <t>911-45-5</t>
  </si>
  <si>
    <t>"4,4'-(1,2-Ethanediyl)bisphenol"</t>
  </si>
  <si>
    <t>6052-84-2</t>
  </si>
  <si>
    <t>"2,5-Dichloro-4'-biphenylol"</t>
  </si>
  <si>
    <t>53905-28-5</t>
  </si>
  <si>
    <t>Phenolphthalein</t>
  </si>
  <si>
    <t>77-09-8</t>
  </si>
  <si>
    <t>Monohydroxymethoxychlor</t>
  </si>
  <si>
    <t>28463-03-8</t>
  </si>
  <si>
    <t>"2,3,4,5-Tetrachloro-4'-biphenylol"</t>
  </si>
  <si>
    <t>67651-34-7</t>
  </si>
  <si>
    <t>2-Ethylhexyl-4-hydroxybenzoate</t>
  </si>
  <si>
    <t>5153-25-3</t>
  </si>
  <si>
    <t>Kepone</t>
  </si>
  <si>
    <t>143-50-0</t>
  </si>
  <si>
    <t>Diethylstilbestrol dimethyl ether</t>
  </si>
  <si>
    <t>7773-34-4</t>
  </si>
  <si>
    <t>3-b-Androstanediol</t>
  </si>
  <si>
    <t>571-20-0</t>
  </si>
  <si>
    <t>4-Dodecylphenol</t>
  </si>
  <si>
    <t>104-43-8</t>
  </si>
  <si>
    <t>Monohydroxymethoxychlor olefin</t>
  </si>
  <si>
    <t>75938-34-0</t>
  </si>
  <si>
    <t>"3-OH-Estra-1,3,5(10)-trien-16-one"</t>
  </si>
  <si>
    <t>3601-97-6</t>
  </si>
  <si>
    <t>16b-OH-16-Methyl-3-methyl-estradiol</t>
  </si>
  <si>
    <t>5108-94-1</t>
  </si>
  <si>
    <t>b-Zearalenol</t>
  </si>
  <si>
    <t>71030-11-0</t>
  </si>
  <si>
    <t>Taxifolin</t>
  </si>
  <si>
    <t>480-18-2</t>
  </si>
  <si>
    <t>4'-Hydroxychalcone</t>
  </si>
  <si>
    <t>2657-25-2</t>
  </si>
  <si>
    <t>Hesperetin</t>
  </si>
  <si>
    <t>520-33-2</t>
  </si>
  <si>
    <t>4-Ethyl-7-OH-3-(p-methoxyphenyl)coumarin</t>
  </si>
  <si>
    <t>5219-17-0</t>
  </si>
  <si>
    <t>Chalcone</t>
  </si>
  <si>
    <t>94-41-7</t>
  </si>
  <si>
    <t>Quercetin</t>
  </si>
  <si>
    <t>117-39-5</t>
  </si>
  <si>
    <t>3,6,4'-Trihydroxyflavone</t>
  </si>
  <si>
    <t>253195-19-6</t>
  </si>
  <si>
    <t>Baicalein</t>
  </si>
  <si>
    <t>491-67-8</t>
  </si>
  <si>
    <t>Zearalenol</t>
  </si>
  <si>
    <t>36455-72-8</t>
  </si>
  <si>
    <t>Phloretin</t>
  </si>
  <si>
    <t>60-82-2</t>
  </si>
  <si>
    <t>Genistin</t>
  </si>
  <si>
    <t>529-59-9</t>
  </si>
  <si>
    <t>Equol</t>
  </si>
  <si>
    <t>531-95-3</t>
  </si>
  <si>
    <t>4'-hydroxyflavanone</t>
  </si>
  <si>
    <t>6515-37-3</t>
  </si>
  <si>
    <t>a-Zearalanol</t>
  </si>
  <si>
    <t>55331-29-8</t>
  </si>
  <si>
    <t>4',6,7-Trihydroxy isoflavone</t>
  </si>
  <si>
    <t>17817-31-1</t>
  </si>
  <si>
    <t>4-Hydroxychalcone</t>
  </si>
  <si>
    <t>20426-12-4</t>
  </si>
  <si>
    <t>Coumestrol</t>
  </si>
  <si>
    <t>479-13-0</t>
  </si>
  <si>
    <t>4',6-Dihydroxyflavone</t>
  </si>
  <si>
    <t>63046-09-3</t>
  </si>
  <si>
    <t>Naringenin</t>
  </si>
  <si>
    <t>480-41-1</t>
  </si>
  <si>
    <t>6-Hydroxy-2'-methoxyflavone</t>
  </si>
  <si>
    <t>61546-59-6</t>
  </si>
  <si>
    <t>7-Hydroxyflavanone</t>
  </si>
  <si>
    <t>6515-36-2</t>
  </si>
  <si>
    <t>Myricetin</t>
  </si>
  <si>
    <t>529-44-2</t>
  </si>
  <si>
    <t>Kaempferol</t>
  </si>
  <si>
    <t>520-18-3</t>
  </si>
  <si>
    <t>3',4',7-Trihydroxy isoflavone</t>
  </si>
  <si>
    <t>485-63-2</t>
  </si>
  <si>
    <t>Naringin</t>
  </si>
  <si>
    <t>10236-47-2</t>
  </si>
  <si>
    <t>2',4,4'-Trihydroxychalcone</t>
  </si>
  <si>
    <t>961-29-5</t>
  </si>
  <si>
    <t>6-Hydroxyflavone</t>
  </si>
  <si>
    <t>6665-83-4</t>
  </si>
  <si>
    <t>6-Hydroxyflavanone</t>
  </si>
  <si>
    <t>4250-77-5</t>
  </si>
  <si>
    <t>Fisetin</t>
  </si>
  <si>
    <t>528-48-3</t>
  </si>
  <si>
    <t>Rutin</t>
  </si>
  <si>
    <t>153-18-4</t>
  </si>
  <si>
    <t>Apigenin</t>
  </si>
  <si>
    <t>520-36-5</t>
  </si>
  <si>
    <t>7-Hydroxyflavone</t>
  </si>
  <si>
    <t>6665-86-7</t>
  </si>
  <si>
    <t>Flavone</t>
  </si>
  <si>
    <t>525-82-6</t>
  </si>
  <si>
    <t>Catechin</t>
  </si>
  <si>
    <t>154-23-4</t>
  </si>
  <si>
    <t>Daidzein</t>
  </si>
  <si>
    <t>486-66-8</t>
  </si>
  <si>
    <t>b-Zearalanol</t>
  </si>
  <si>
    <t>42422-68-4</t>
  </si>
  <si>
    <t>Flavanone</t>
  </si>
  <si>
    <t>487-26-3</t>
  </si>
  <si>
    <t>Chrysin</t>
  </si>
  <si>
    <t>480-40-0</t>
  </si>
  <si>
    <t>Genistein</t>
  </si>
  <si>
    <t>446-72-0</t>
  </si>
  <si>
    <t>Morin</t>
  </si>
  <si>
    <t>480-16-0</t>
  </si>
  <si>
    <t>3'-hydroxyflavanone</t>
  </si>
  <si>
    <t>92496-65-6</t>
  </si>
  <si>
    <t>Biochanin A</t>
  </si>
  <si>
    <t>491-80-5</t>
  </si>
  <si>
    <t>Formononetin</t>
  </si>
  <si>
    <t>485-72-3</t>
  </si>
  <si>
    <t>Prunetin</t>
  </si>
  <si>
    <t>552-59-0</t>
  </si>
  <si>
    <t>Zearalanone</t>
  </si>
  <si>
    <t>5975-78-0</t>
  </si>
  <si>
    <t>Zearalenone</t>
  </si>
  <si>
    <t>17924-92-4</t>
  </si>
  <si>
    <t>Bisphenol AF</t>
  </si>
  <si>
    <t>1478-61-1</t>
  </si>
  <si>
    <t>Norethindrone</t>
  </si>
  <si>
    <t>68-22-4</t>
  </si>
  <si>
    <t>17-Methyltestosterone</t>
  </si>
  <si>
    <t>58-18-4</t>
  </si>
  <si>
    <t>17beta-Trenbolone</t>
  </si>
  <si>
    <t>10161-33-8</t>
  </si>
  <si>
    <t>4-Nonylphenol, branched</t>
  </si>
  <si>
    <t>84852-15-3</t>
  </si>
  <si>
    <t>5HPP-33</t>
  </si>
  <si>
    <t>105624-86-0</t>
  </si>
  <si>
    <t>2,2',4,4'-Tetrahydroxybenzophenone</t>
  </si>
  <si>
    <t>131-55-5</t>
  </si>
  <si>
    <t>Norgestrel</t>
  </si>
  <si>
    <t>797-63-7</t>
  </si>
  <si>
    <t>Dehydroepiandrosterone</t>
  </si>
  <si>
    <t>53-43-0</t>
  </si>
  <si>
    <t>17alpha-Hydroxyprogesterone</t>
  </si>
  <si>
    <t>68-96-2</t>
  </si>
  <si>
    <t>4,4',4-Ethane-1,1,1-triyltriphenol</t>
  </si>
  <si>
    <t>27955-94-8</t>
  </si>
  <si>
    <t>Phenylparaben</t>
  </si>
  <si>
    <t>17696-62-7</t>
  </si>
  <si>
    <t>Octylparaben</t>
  </si>
  <si>
    <t>1219-38-1</t>
  </si>
  <si>
    <t>6-Hydroxy-2-naphthyl disulfide</t>
  </si>
  <si>
    <t>6088-51-3</t>
  </si>
  <si>
    <t>Octadecanoic acid</t>
  </si>
  <si>
    <t>57-11-4</t>
  </si>
  <si>
    <t>4-(2-Methylbutan-2-yl)cyclohexanol</t>
  </si>
  <si>
    <t>5349-51-9</t>
  </si>
  <si>
    <t>2,2',6,6'-Tetrachlorobisphenol A</t>
  </si>
  <si>
    <t>79-95-8</t>
  </si>
  <si>
    <t>Tiratricol</t>
  </si>
  <si>
    <t>51-24-1</t>
  </si>
  <si>
    <t>Melengestrol acetate</t>
  </si>
  <si>
    <t>2919-66-6</t>
  </si>
  <si>
    <t>6-Propyl-2-thiouracil</t>
  </si>
  <si>
    <t>51-52-5</t>
  </si>
  <si>
    <t>3,3'-Dimethylbenzidine dihydrochloride</t>
  </si>
  <si>
    <t>612-82-8</t>
  </si>
  <si>
    <t>Diphenyl phosphite</t>
  </si>
  <si>
    <t>4712-55-4</t>
  </si>
  <si>
    <t>3,5,3'-Triiodothyronine</t>
  </si>
  <si>
    <t>6893-02-3</t>
  </si>
  <si>
    <t>Triphenylborane</t>
  </si>
  <si>
    <t>960-71-4</t>
  </si>
  <si>
    <t>Hexyl alcohol</t>
  </si>
  <si>
    <t>111-27-3</t>
  </si>
  <si>
    <t>Benzylalcohol</t>
  </si>
  <si>
    <t>100-51-6</t>
  </si>
  <si>
    <t>2-sec-Butylphenol</t>
  </si>
  <si>
    <t>89-72-5</t>
  </si>
  <si>
    <t>Aldrin</t>
  </si>
  <si>
    <t>309-00-2</t>
  </si>
  <si>
    <t>4-OH-Tamoxifen</t>
  </si>
  <si>
    <t>68047-06-3</t>
  </si>
  <si>
    <t>Thalidomide</t>
  </si>
  <si>
    <t>50-35-1</t>
  </si>
  <si>
    <t>1,6-Dimethylnaphthalene</t>
  </si>
  <si>
    <t>575-43-9</t>
  </si>
  <si>
    <t>1,3-Diphenyltetramethyldisiloxane</t>
  </si>
  <si>
    <t>56-33-7</t>
  </si>
  <si>
    <t>3-Ethylphenol</t>
  </si>
  <si>
    <t>620-17-7</t>
  </si>
  <si>
    <t>Heptaldehyde</t>
  </si>
  <si>
    <t>111-71-7</t>
  </si>
  <si>
    <t>Diisononylphthalate</t>
  </si>
  <si>
    <t>28553-12-0</t>
  </si>
  <si>
    <t>Amaranth</t>
  </si>
  <si>
    <t>915-67-3</t>
  </si>
  <si>
    <t>2-Ethylphenol</t>
  </si>
  <si>
    <t>90-00-6</t>
  </si>
  <si>
    <t>2,2'-Dihydroxy-4-methoxy-benzophenone</t>
  </si>
  <si>
    <t>131-53-3</t>
  </si>
  <si>
    <t>Nerolidol</t>
  </si>
  <si>
    <t>7212-44-4</t>
  </si>
  <si>
    <t>3,3'-Dihydroxyhexestrol</t>
  </si>
  <si>
    <t>79199-51-2</t>
  </si>
  <si>
    <t>4-Phenethylphenol</t>
  </si>
  <si>
    <t>6335-83-7</t>
  </si>
  <si>
    <t>ICI 182780</t>
  </si>
  <si>
    <t>129453-61-8</t>
  </si>
  <si>
    <t>Vinclozolin</t>
  </si>
  <si>
    <t>50471-44-8</t>
  </si>
  <si>
    <t>Monomethyl ether hexestrol</t>
  </si>
  <si>
    <t>13026-26-1</t>
  </si>
  <si>
    <t>2,2'-Methylenebis(4-chlorophenol)</t>
  </si>
  <si>
    <t>97-23-4</t>
  </si>
  <si>
    <t>Toremifene</t>
  </si>
  <si>
    <t>89778-26-7</t>
  </si>
  <si>
    <t>Diethyl phthalate</t>
  </si>
  <si>
    <t>84-66-2</t>
  </si>
  <si>
    <t>4,4'-Methylenedianiline</t>
  </si>
  <si>
    <t>101-77-9</t>
  </si>
  <si>
    <t>3-(p-Phenol)-4-(p-tolyl)-hexane</t>
  </si>
  <si>
    <t>COULD NOT FIND</t>
  </si>
  <si>
    <t>Carbofuran</t>
  </si>
  <si>
    <t>1563-66-2</t>
  </si>
  <si>
    <t>2,6-Dimethyl hexestrol</t>
  </si>
  <si>
    <t>334707-28-7</t>
  </si>
  <si>
    <t>Dopamine</t>
  </si>
  <si>
    <t>51-61-6</t>
  </si>
  <si>
    <t>Hexachlorobenzene</t>
  </si>
  <si>
    <t>118-74-1</t>
  </si>
  <si>
    <t>Mirex</t>
  </si>
  <si>
    <t>2385-85-5</t>
  </si>
  <si>
    <t>4,4'-Methylenebis(N,N-dimethylaniline)</t>
  </si>
  <si>
    <t>101-61-1</t>
  </si>
  <si>
    <t>ICI 164384</t>
  </si>
  <si>
    <t>98007-99-9</t>
  </si>
  <si>
    <t>Bis(2-ethylhexyl)phthalate</t>
  </si>
  <si>
    <t>117-81-7</t>
  </si>
  <si>
    <t>1,3-Dibenzyltetramethyldisiloxane</t>
  </si>
  <si>
    <t>1833-27-8</t>
  </si>
  <si>
    <t>Carbaryl</t>
  </si>
  <si>
    <t>63-25-2</t>
  </si>
  <si>
    <t>4,4'-Methylenebis(2,6-di-t-butylphenol)</t>
  </si>
  <si>
    <t>118-82-1</t>
  </si>
  <si>
    <t>p,p'-Methoxychlor olefin</t>
  </si>
  <si>
    <t>2132-70-9</t>
  </si>
  <si>
    <t>Sec-butylbenzene</t>
  </si>
  <si>
    <t>135-98-8</t>
  </si>
  <si>
    <t>2-Chlorophenol</t>
  </si>
  <si>
    <t>95-57-8</t>
  </si>
  <si>
    <t>Trans,trans-1,4-diphenyl-1,3-butadiene</t>
  </si>
  <si>
    <t>886-65-7</t>
  </si>
  <si>
    <t>2467-02-9</t>
  </si>
  <si>
    <t>Bis(4-hydroxyphenyl)methane</t>
  </si>
  <si>
    <t>620-92-8</t>
  </si>
  <si>
    <t>Caffeine</t>
  </si>
  <si>
    <t>58-08-2</t>
  </si>
  <si>
    <t>Dimethyl phthalate</t>
  </si>
  <si>
    <t>131-11-3</t>
  </si>
  <si>
    <t>Alachlor</t>
  </si>
  <si>
    <t>15972-60-8</t>
  </si>
  <si>
    <t>2,2',4,4'-Tetrachlorobiphenyl</t>
  </si>
  <si>
    <t>2437-79-8</t>
  </si>
  <si>
    <t>Ethyl cinnamate</t>
  </si>
  <si>
    <t>103-36-6</t>
  </si>
  <si>
    <t>3,3',4,4'-Tetrachlorobiphenyl</t>
  </si>
  <si>
    <t>32598-13-3</t>
  </si>
  <si>
    <t>2-Cholor-4-methyl phenol</t>
  </si>
  <si>
    <t>6640-27-3</t>
  </si>
  <si>
    <t>2,4'-Dichlorobiphenyl</t>
  </si>
  <si>
    <t>34883-43-7</t>
  </si>
  <si>
    <t>Melatonin</t>
  </si>
  <si>
    <t>73-31-4</t>
  </si>
  <si>
    <t>Dimethylstilbestrol</t>
  </si>
  <si>
    <t>552-80-7</t>
  </si>
  <si>
    <t>Atrazine</t>
  </si>
  <si>
    <t>1912-24-9</t>
  </si>
  <si>
    <t>2,4,5-T</t>
  </si>
  <si>
    <t>93-76-5</t>
  </si>
  <si>
    <t>2-Furaldehyde</t>
  </si>
  <si>
    <t>98-01-1</t>
  </si>
  <si>
    <t>4-Cresol</t>
  </si>
  <si>
    <t>106-44-5</t>
  </si>
  <si>
    <t>o,p'-DDE</t>
  </si>
  <si>
    <t>3424-82-6</t>
  </si>
  <si>
    <t>3,3',5,5'-Tetrachloro-4,4'-biphenyldiol</t>
  </si>
  <si>
    <t>13049-13-3</t>
  </si>
  <si>
    <t>Droloxifene</t>
  </si>
  <si>
    <t>82413-20-5</t>
  </si>
  <si>
    <t>DL-Hexestrol</t>
  </si>
  <si>
    <t>5776-72-7</t>
  </si>
  <si>
    <t>Heptachlor</t>
  </si>
  <si>
    <t>76-44-8</t>
  </si>
  <si>
    <t>"4,4'-Diaminostilbene"</t>
  </si>
  <si>
    <t>54760-75-7</t>
  </si>
  <si>
    <t>Dibenzo-18-crown-6</t>
  </si>
  <si>
    <t>14187-32-7</t>
  </si>
  <si>
    <t>Metolachlor</t>
  </si>
  <si>
    <t>51218-45-2</t>
  </si>
  <si>
    <t>2,4-D (2,4-dichlorophenoxyacetic acid)</t>
  </si>
  <si>
    <t>94-75-7</t>
  </si>
  <si>
    <t>4-Aminophenyl ether</t>
  </si>
  <si>
    <t>101-80-4</t>
  </si>
  <si>
    <t>2,2'-Dihydroxy-benzophenone</t>
  </si>
  <si>
    <t>835-11-0</t>
  </si>
  <si>
    <t>Prometon</t>
  </si>
  <si>
    <t>1610-18-0</t>
  </si>
  <si>
    <t>Tamoxifen</t>
  </si>
  <si>
    <t>10540-29-1</t>
  </si>
  <si>
    <t>Aldosterone</t>
  </si>
  <si>
    <t>52-39-1</t>
  </si>
  <si>
    <t>Monomethyl ether diethylstilbestrol</t>
  </si>
  <si>
    <t>18839-90-2</t>
  </si>
  <si>
    <t>Simazine</t>
  </si>
  <si>
    <t>122-34-9</t>
  </si>
  <si>
    <t>Di(2-Ethylhexyl) adipate</t>
  </si>
  <si>
    <t>103-23-1</t>
  </si>
  <si>
    <t>Folic acid</t>
  </si>
  <si>
    <t>59-30-3</t>
  </si>
  <si>
    <t>Bis(n-octyl) phthalate</t>
  </si>
  <si>
    <t>117-84-0</t>
  </si>
  <si>
    <t>Suberic acid</t>
  </si>
  <si>
    <t>505-48-6</t>
  </si>
  <si>
    <t>Cineole</t>
  </si>
  <si>
    <t>470-82-6</t>
  </si>
  <si>
    <t>1,8-Octanediol</t>
  </si>
  <si>
    <t>629-41-4</t>
  </si>
  <si>
    <t>Chlordane</t>
  </si>
  <si>
    <t>57-74-9</t>
  </si>
  <si>
    <t>n-Butylbenzene</t>
  </si>
  <si>
    <t>104-51-8</t>
  </si>
  <si>
    <t>Dihydroxymethoxychlor olefin</t>
  </si>
  <si>
    <t>14868-03-2</t>
  </si>
  <si>
    <t>Phenol</t>
  </si>
  <si>
    <t>108-95-2</t>
  </si>
  <si>
    <t xml:space="preserve">    "cas-140-10-3_min": "alpha-zearalanol",</t>
  </si>
  <si>
    <t xml:space="preserve">    "cas-34816-55-2_min": "Butyl paraben",</t>
  </si>
  <si>
    <t xml:space="preserve">    "cas-99-76-3_min": "4-tert-octylphenol",</t>
  </si>
  <si>
    <t xml:space="preserve">    "cas-474-86-2_min": "Benzophenone-2",</t>
  </si>
  <si>
    <t xml:space="preserve">    "cas-115-29-7_min": "Bisphenol A (BPA)",</t>
  </si>
  <si>
    <t xml:space="preserve">    "cas-72-55-9_min": "alpha-zearalenol",</t>
  </si>
  <si>
    <t xml:space="preserve">    "cas-84-17-3_min": "Caffeine",</t>
  </si>
  <si>
    <t xml:space="preserve">    "cas-120-47-8_min": "Diethylstilbestrol (DES)",</t>
  </si>
  <si>
    <t xml:space="preserve">    "cas-92-69-3_min": "EE2",</t>
  </si>
  <si>
    <t xml:space="preserve">    "cas-50-27-1_min": "17β-estradiol (E2)",</t>
  </si>
  <si>
    <t xml:space="preserve">    "cas-72-43-5_min": "Melatonin",</t>
  </si>
  <si>
    <t xml:space="preserve">    "cas-1570-64-5_min": "Testosterone",</t>
  </si>
  <si>
    <t xml:space="preserve">    "cas-123-07-9_min": "Testosterone",</t>
  </si>
  <si>
    <t xml:space="preserve">    "cas-90-43-7_min": "Testosterone",</t>
  </si>
  <si>
    <t xml:space="preserve">    "cas-57-91-0_min": "Testosterone",</t>
  </si>
  <si>
    <t xml:space="preserve">    "cas-59-50-7_min": "Testosterone",</t>
  </si>
  <si>
    <t xml:space="preserve">    "cas-53-19-0_min": "Testosterone",</t>
  </si>
  <si>
    <t xml:space="preserve">    "cas-131-57-7_min": "Testosterone",</t>
  </si>
  <si>
    <t xml:space="preserve">    "cas-50-28-2_min": "Testosterone",</t>
  </si>
  <si>
    <t xml:space="preserve">    "cas-84-16-2_min": "Testosterone",</t>
  </si>
  <si>
    <t xml:space="preserve">    "cas-115-86-6_min": "Testosterone",</t>
  </si>
  <si>
    <t xml:space="preserve">    "cas-84-69-5_min": "Testosterone",</t>
  </si>
  <si>
    <t xml:space="preserve">    "cas-362-05-0_min": "Testosterone",</t>
  </si>
  <si>
    <t xml:space="preserve">    "cas-85-68-7_min": "Testosterone",</t>
  </si>
  <si>
    <t xml:space="preserve">    "cas-53-63-4_min": "Testosterone",</t>
  </si>
  <si>
    <t xml:space="preserve">    "cas-97-54-1_min": "Testosterone",</t>
  </si>
  <si>
    <t xml:space="preserve">    "cas-72-54-8_min": "Testosterone",</t>
  </si>
  <si>
    <t xml:space="preserve">    "cas-56-53-1_min": "Testosterone",</t>
  </si>
  <si>
    <t xml:space="preserve">    "cas-57-63-6_min": "Testosterone",</t>
  </si>
  <si>
    <t xml:space="preserve">    "cas-72-33-3_min": "Testosterone",</t>
  </si>
  <si>
    <t xml:space="preserve">    "cas-207-13-4_min": "Testosterone",</t>
  </si>
  <si>
    <t xml:space="preserve">    "cas-53-16-7_min": "Testosterone",</t>
  </si>
  <si>
    <t xml:space="preserve">    "cas-5976-61-4_min": "Testosterone",</t>
  </si>
  <si>
    <t>2,4-Hydroxybenzophenone</t>
  </si>
  <si>
    <t>4,4'-Sulfonyldiphenol</t>
  </si>
  <si>
    <t>4,4'-Dichlorobiphenyl</t>
  </si>
  <si>
    <t>2,3-Benzofluorene</t>
  </si>
  <si>
    <t>p,p'-DDT</t>
  </si>
  <si>
    <t>4,4'-Dihydoxy-benzophenone</t>
  </si>
  <si>
    <t>o,p'-DDT</t>
  </si>
  <si>
    <t>a,a-Dimethyl-b-ethyl allenolic acid</t>
  </si>
  <si>
    <t>2,2',4,4'-Tetrahydroxybenzil</t>
  </si>
  <si>
    <t>4,4'-Dihydroxystilbene</t>
  </si>
  <si>
    <t>4,4'-(1,2-Ethanediyl)bisphenol</t>
  </si>
  <si>
    <t>2,5-Dichloro-4'-biphenylol</t>
  </si>
  <si>
    <t>2,3,4,5-Tetrachloro-4'-biphenylol</t>
  </si>
  <si>
    <t>3-OH-Estra-1,3,5(10)-trien-16-one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</si>
</sst>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4" borderId="0" xfId="0" applyFill="1"/>
    <xf numFmtId="0" fontId="1" fillId="2" borderId="0" xfId="0" applyFont="1" applyFill="1" applyAlignment="1">
      <alignment vertical="center" wrapText="1"/>
    </xf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quotePrefix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erma\Downloads\Updated%20ER%20Determinations_05_07_2026.xlsx" TargetMode="External"/><Relationship Id="rId1" Type="http://schemas.openxmlformats.org/officeDocument/2006/relationships/externalLinkPath" Target="Updated%20ER%20Determinations_05_07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eak and very weak"/>
      <sheetName val="README"/>
      <sheetName val="weak_very weak"/>
      <sheetName val="Moderate"/>
      <sheetName val="Strong"/>
      <sheetName val="Blair"/>
      <sheetName val="Browne et al"/>
      <sheetName val="Judson et. al."/>
      <sheetName val="cerapp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Column1</v>
          </cell>
          <cell r="B1" t="str">
            <v>Column2</v>
          </cell>
          <cell r="C1" t="str">
            <v>Column3</v>
          </cell>
          <cell r="D1" t="str">
            <v>Column4</v>
          </cell>
        </row>
        <row r="2">
          <cell r="A2" t="str">
            <v>57-63-6</v>
          </cell>
          <cell r="B2" t="str">
            <v>17α-Ethinyl estradiol</v>
          </cell>
          <cell r="C2" t="str">
            <v>strong</v>
          </cell>
          <cell r="D2">
            <v>1</v>
          </cell>
        </row>
        <row r="3">
          <cell r="A3" t="str">
            <v>84-16-2</v>
          </cell>
          <cell r="B3" t="str">
            <v>meso-Hexestrol</v>
          </cell>
          <cell r="C3" t="str">
            <v>strong</v>
          </cell>
          <cell r="D3">
            <v>0.99</v>
          </cell>
        </row>
        <row r="4">
          <cell r="A4" t="str">
            <v>56-52-1</v>
          </cell>
          <cell r="B4" t="str">
            <v>Diethylstilbestrol (DES)</v>
          </cell>
          <cell r="C4" t="str">
            <v>strong</v>
          </cell>
          <cell r="D4">
            <v>0.94</v>
          </cell>
        </row>
        <row r="5">
          <cell r="A5" t="str">
            <v>50-28-2</v>
          </cell>
          <cell r="B5" t="str">
            <v>17β-Estradiol</v>
          </cell>
          <cell r="C5" t="str">
            <v>strong</v>
          </cell>
          <cell r="D5">
            <v>0.94</v>
          </cell>
        </row>
        <row r="6">
          <cell r="A6" t="str">
            <v>57-91-0</v>
          </cell>
          <cell r="B6" t="str">
            <v>17α-Estradiol</v>
          </cell>
          <cell r="C6" t="str">
            <v>moderate</v>
          </cell>
          <cell r="D6">
            <v>1.06</v>
          </cell>
        </row>
        <row r="7">
          <cell r="A7" t="str">
            <v>53-16-7</v>
          </cell>
          <cell r="B7" t="str">
            <v>Estrone</v>
          </cell>
          <cell r="C7" t="str">
            <v>moderate</v>
          </cell>
          <cell r="D7">
            <v>0.81</v>
          </cell>
        </row>
        <row r="8">
          <cell r="A8" t="str">
            <v>140-66-9</v>
          </cell>
          <cell r="B8" t="str">
            <v>4-tert-Octylphenol</v>
          </cell>
          <cell r="C8" t="str">
            <v>moderate</v>
          </cell>
          <cell r="D8">
            <v>0.39</v>
          </cell>
        </row>
        <row r="9">
          <cell r="A9" t="str">
            <v>446-72-0</v>
          </cell>
          <cell r="B9" t="str">
            <v>Genistein</v>
          </cell>
          <cell r="C9" t="str">
            <v>weak</v>
          </cell>
          <cell r="D9">
            <v>0.54</v>
          </cell>
        </row>
        <row r="10">
          <cell r="A10" t="str">
            <v>77-40-7</v>
          </cell>
          <cell r="B10" t="str">
            <v>BisphenolB</v>
          </cell>
          <cell r="C10" t="str">
            <v>weak</v>
          </cell>
          <cell r="D10">
            <v>0.49</v>
          </cell>
        </row>
        <row r="11">
          <cell r="A11" t="str">
            <v>80-05-7</v>
          </cell>
          <cell r="B11" t="str">
            <v>BisphenolA</v>
          </cell>
          <cell r="C11" t="str">
            <v>weak</v>
          </cell>
          <cell r="D11">
            <v>0.45</v>
          </cell>
        </row>
        <row r="12">
          <cell r="A12" t="str">
            <v>486-66-8</v>
          </cell>
          <cell r="B12" t="str">
            <v>Daidzein</v>
          </cell>
          <cell r="C12" t="str">
            <v>weak</v>
          </cell>
          <cell r="D12">
            <v>0.44</v>
          </cell>
        </row>
        <row r="13">
          <cell r="A13" t="str">
            <v>521-18-6</v>
          </cell>
          <cell r="B13" t="str">
            <v>5α-Dihydrotestosterone</v>
          </cell>
          <cell r="C13" t="str">
            <v>weak</v>
          </cell>
          <cell r="D13">
            <v>0.4</v>
          </cell>
        </row>
        <row r="14">
          <cell r="A14" t="str">
            <v>789-02-6</v>
          </cell>
          <cell r="B14" t="str">
            <v>o,p′-DDT</v>
          </cell>
          <cell r="C14" t="str">
            <v>weak</v>
          </cell>
          <cell r="D14">
            <v>0.39</v>
          </cell>
        </row>
        <row r="15">
          <cell r="A15" t="str">
            <v>599-64-4</v>
          </cell>
          <cell r="B15" t="str">
            <v>4-Cumylphenol</v>
          </cell>
          <cell r="C15" t="str">
            <v>weak</v>
          </cell>
          <cell r="D15">
            <v>0.38</v>
          </cell>
        </row>
        <row r="16">
          <cell r="A16" t="str">
            <v>143-50-0</v>
          </cell>
          <cell r="B16" t="str">
            <v>Kepone</v>
          </cell>
          <cell r="C16" t="str">
            <v>weak</v>
          </cell>
          <cell r="D16">
            <v>0.17</v>
          </cell>
        </row>
        <row r="17">
          <cell r="A17" t="str">
            <v>58-18-4</v>
          </cell>
          <cell r="B17" t="str">
            <v>17α-Methyltestosterone</v>
          </cell>
          <cell r="C17" t="str">
            <v>veryweak</v>
          </cell>
          <cell r="D17">
            <v>0.5</v>
          </cell>
        </row>
        <row r="18">
          <cell r="A18" t="str">
            <v>520-36-5</v>
          </cell>
          <cell r="B18" t="str">
            <v>Apigenin</v>
          </cell>
          <cell r="C18" t="str">
            <v>veryweak</v>
          </cell>
          <cell r="D18">
            <v>0.31</v>
          </cell>
        </row>
        <row r="19">
          <cell r="A19" t="str">
            <v>72-43-5</v>
          </cell>
          <cell r="B19" t="str">
            <v>Methoxychlor</v>
          </cell>
          <cell r="C19" t="str">
            <v>veryweak</v>
          </cell>
          <cell r="D19">
            <v>0.25</v>
          </cell>
        </row>
        <row r="20">
          <cell r="A20" t="str">
            <v>520-18-3</v>
          </cell>
          <cell r="B20" t="str">
            <v>Kaempferol</v>
          </cell>
          <cell r="C20" t="str">
            <v>veryweak</v>
          </cell>
          <cell r="D20">
            <v>0.25</v>
          </cell>
        </row>
        <row r="21">
          <cell r="A21" t="str">
            <v>85-68-7</v>
          </cell>
          <cell r="B21" t="str">
            <v>Butylbenzylphthalate</v>
          </cell>
          <cell r="C21" t="str">
            <v>veryweak</v>
          </cell>
          <cell r="D21">
            <v>0.18</v>
          </cell>
        </row>
        <row r="22">
          <cell r="A22" t="str">
            <v>480-40-0</v>
          </cell>
          <cell r="B22" t="str">
            <v>Chrysin</v>
          </cell>
          <cell r="C22" t="str">
            <v>veryweak</v>
          </cell>
          <cell r="D22">
            <v>0.13</v>
          </cell>
        </row>
        <row r="23">
          <cell r="A23" t="str">
            <v>60168-88-9</v>
          </cell>
          <cell r="B23" t="str">
            <v>Fenarimol</v>
          </cell>
          <cell r="C23" t="str">
            <v>veryweak</v>
          </cell>
          <cell r="D23">
            <v>0.11</v>
          </cell>
        </row>
        <row r="24">
          <cell r="A24" t="str">
            <v>104-40-5</v>
          </cell>
          <cell r="B24" t="str">
            <v>p-n-Nonylphenol</v>
          </cell>
          <cell r="C24" t="str">
            <v>veryweak</v>
          </cell>
          <cell r="D24">
            <v>0.1</v>
          </cell>
        </row>
        <row r="25">
          <cell r="A25" t="str">
            <v>120-47-8</v>
          </cell>
          <cell r="B25" t="str">
            <v>Ethylparaben</v>
          </cell>
          <cell r="C25" t="str">
            <v>veryweak</v>
          </cell>
          <cell r="D25">
            <v>0.1</v>
          </cell>
        </row>
        <row r="26">
          <cell r="A26" t="str">
            <v>72-55-9</v>
          </cell>
          <cell r="B26" t="str">
            <v>p,p′-DDE</v>
          </cell>
          <cell r="C26" t="str">
            <v>veryweak</v>
          </cell>
          <cell r="D26">
            <v>0.1</v>
          </cell>
        </row>
        <row r="27">
          <cell r="A27" t="str">
            <v>84-74-2</v>
          </cell>
          <cell r="B27" t="str">
            <v>Di-n-butylphthalate</v>
          </cell>
          <cell r="C27" t="str">
            <v>veryweak</v>
          </cell>
          <cell r="D27">
            <v>0.03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6ECD-B56D-4AFA-9058-FAE9F244833B}">
  <dimension ref="A1:O261"/>
  <sheetViews>
    <sheetView tabSelected="1" workbookViewId="0">
      <selection activeCell="B221" sqref="B221"/>
    </sheetView>
  </sheetViews>
  <sheetFormatPr defaultRowHeight="14.45"/>
  <cols>
    <col min="1" max="1" width="25.5703125" customWidth="1"/>
    <col min="2" max="7" width="8.85546875"/>
    <col min="9" max="9" width="8.85546875"/>
    <col min="12" max="15" width="21.5703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s="2" t="s">
        <v>9</v>
      </c>
      <c r="M1" s="1" t="s">
        <v>10</v>
      </c>
      <c r="N1" s="6" t="s">
        <v>11</v>
      </c>
      <c r="O1" s="8" t="s">
        <v>12</v>
      </c>
    </row>
    <row r="2" spans="1:15">
      <c r="A2" t="s">
        <v>13</v>
      </c>
      <c r="B2" t="s">
        <v>14</v>
      </c>
      <c r="C2" t="s">
        <v>15</v>
      </c>
      <c r="D2" t="s">
        <v>15</v>
      </c>
      <c r="E2">
        <v>1</v>
      </c>
      <c r="F2" t="s">
        <v>16</v>
      </c>
      <c r="G2" t="s">
        <v>16</v>
      </c>
      <c r="H2" t="s">
        <v>17</v>
      </c>
      <c r="I2" t="s">
        <v>15</v>
      </c>
    </row>
    <row r="3" spans="1:15">
      <c r="A3" t="s">
        <v>18</v>
      </c>
      <c r="B3" t="s">
        <v>19</v>
      </c>
      <c r="C3" t="s">
        <v>15</v>
      </c>
      <c r="D3" t="s">
        <v>15</v>
      </c>
      <c r="E3">
        <v>0.99299999999999999</v>
      </c>
      <c r="F3" t="s">
        <v>20</v>
      </c>
      <c r="G3" t="s">
        <v>16</v>
      </c>
      <c r="H3" t="s">
        <v>17</v>
      </c>
      <c r="I3" t="s">
        <v>15</v>
      </c>
    </row>
    <row r="4" spans="1:15">
      <c r="A4" t="s">
        <v>21</v>
      </c>
      <c r="B4" t="s">
        <v>22</v>
      </c>
      <c r="C4" t="s">
        <v>15</v>
      </c>
      <c r="D4" t="s">
        <v>23</v>
      </c>
      <c r="E4">
        <v>0.94299999999999995</v>
      </c>
      <c r="F4" t="s">
        <v>20</v>
      </c>
      <c r="G4" t="s">
        <v>16</v>
      </c>
      <c r="H4" t="s">
        <v>17</v>
      </c>
      <c r="I4" t="s">
        <v>15</v>
      </c>
    </row>
    <row r="5" spans="1:15">
      <c r="A5" t="s">
        <v>24</v>
      </c>
      <c r="B5" t="s">
        <v>25</v>
      </c>
      <c r="C5" t="s">
        <v>15</v>
      </c>
      <c r="D5" t="s">
        <v>23</v>
      </c>
      <c r="E5" t="s">
        <v>23</v>
      </c>
      <c r="F5" t="s">
        <v>16</v>
      </c>
      <c r="G5" t="s">
        <v>16</v>
      </c>
      <c r="H5" t="s">
        <v>17</v>
      </c>
      <c r="I5" t="s">
        <v>15</v>
      </c>
    </row>
    <row r="6" spans="1:15">
      <c r="A6" t="s">
        <v>26</v>
      </c>
      <c r="B6" t="s">
        <v>27</v>
      </c>
      <c r="C6" t="s">
        <v>15</v>
      </c>
      <c r="D6" t="s">
        <v>28</v>
      </c>
      <c r="E6">
        <v>0.80700000000000005</v>
      </c>
      <c r="F6" t="s">
        <v>16</v>
      </c>
      <c r="G6" t="s">
        <v>16</v>
      </c>
      <c r="H6" t="s">
        <v>17</v>
      </c>
      <c r="I6" t="s">
        <v>15</v>
      </c>
    </row>
    <row r="7" spans="1:15">
      <c r="A7" t="s">
        <v>29</v>
      </c>
      <c r="B7" t="s">
        <v>30</v>
      </c>
      <c r="C7" t="s">
        <v>15</v>
      </c>
      <c r="D7" t="s">
        <v>23</v>
      </c>
      <c r="E7">
        <v>0.74199999999999999</v>
      </c>
      <c r="F7" t="s">
        <v>31</v>
      </c>
      <c r="G7" t="s">
        <v>16</v>
      </c>
      <c r="H7" t="s">
        <v>17</v>
      </c>
      <c r="I7" t="s">
        <v>15</v>
      </c>
    </row>
    <row r="8" spans="1:15">
      <c r="A8" t="s">
        <v>32</v>
      </c>
      <c r="B8" t="s">
        <v>33</v>
      </c>
      <c r="C8" t="s">
        <v>15</v>
      </c>
      <c r="D8" t="s">
        <v>28</v>
      </c>
      <c r="E8">
        <v>1.06</v>
      </c>
      <c r="F8" t="s">
        <v>16</v>
      </c>
      <c r="G8" t="s">
        <v>16</v>
      </c>
      <c r="H8" t="s">
        <v>17</v>
      </c>
      <c r="I8" t="s">
        <v>15</v>
      </c>
    </row>
    <row r="9" spans="1:15">
      <c r="A9" t="s">
        <v>34</v>
      </c>
      <c r="B9" t="s">
        <v>35</v>
      </c>
      <c r="C9" t="s">
        <v>15</v>
      </c>
      <c r="D9" t="s">
        <v>23</v>
      </c>
      <c r="E9">
        <v>0.78600000000000003</v>
      </c>
      <c r="F9" t="s">
        <v>16</v>
      </c>
      <c r="G9" t="s">
        <v>16</v>
      </c>
      <c r="H9" t="s">
        <v>17</v>
      </c>
      <c r="I9" t="s">
        <v>15</v>
      </c>
    </row>
    <row r="10" spans="1:15">
      <c r="A10" t="s">
        <v>36</v>
      </c>
      <c r="B10" t="s">
        <v>37</v>
      </c>
      <c r="C10" t="s">
        <v>15</v>
      </c>
      <c r="D10" t="s">
        <v>15</v>
      </c>
      <c r="E10">
        <v>0.93500000000000005</v>
      </c>
      <c r="F10" t="s">
        <v>16</v>
      </c>
      <c r="G10" t="s">
        <v>16</v>
      </c>
      <c r="H10" t="s">
        <v>17</v>
      </c>
      <c r="I10" t="s">
        <v>15</v>
      </c>
    </row>
    <row r="11" spans="1:15">
      <c r="A11" t="s">
        <v>38</v>
      </c>
      <c r="B11" t="s">
        <v>39</v>
      </c>
      <c r="C11" t="s">
        <v>15</v>
      </c>
      <c r="D11" t="s">
        <v>23</v>
      </c>
      <c r="E11" t="s">
        <v>23</v>
      </c>
      <c r="F11" t="s">
        <v>16</v>
      </c>
      <c r="G11" t="s">
        <v>16</v>
      </c>
      <c r="H11" t="s">
        <v>17</v>
      </c>
      <c r="I11" t="s">
        <v>15</v>
      </c>
    </row>
    <row r="12" spans="1:15">
      <c r="A12" t="s">
        <v>40</v>
      </c>
      <c r="B12" t="s">
        <v>41</v>
      </c>
      <c r="E12">
        <v>0.82</v>
      </c>
      <c r="F12" t="s">
        <v>16</v>
      </c>
      <c r="G12" t="s">
        <v>16</v>
      </c>
      <c r="H12" t="e">
        <v>#N/A</v>
      </c>
      <c r="I12" t="s">
        <v>15</v>
      </c>
    </row>
    <row r="13" spans="1:15">
      <c r="A13" t="s">
        <v>42</v>
      </c>
      <c r="B13" t="s">
        <v>43</v>
      </c>
      <c r="C13" t="s">
        <v>15</v>
      </c>
      <c r="D13" t="s">
        <v>23</v>
      </c>
      <c r="E13" t="s">
        <v>23</v>
      </c>
      <c r="F13" t="s">
        <v>16</v>
      </c>
      <c r="G13" t="s">
        <v>16</v>
      </c>
      <c r="H13" t="s">
        <v>17</v>
      </c>
      <c r="I13" t="s">
        <v>15</v>
      </c>
    </row>
    <row r="14" spans="1:15">
      <c r="A14" t="s">
        <v>44</v>
      </c>
      <c r="B14" t="s">
        <v>45</v>
      </c>
      <c r="C14" t="s">
        <v>15</v>
      </c>
      <c r="D14" t="s">
        <v>23</v>
      </c>
      <c r="E14" t="s">
        <v>23</v>
      </c>
      <c r="F14" t="s">
        <v>16</v>
      </c>
      <c r="G14" t="s">
        <v>16</v>
      </c>
      <c r="H14" t="s">
        <v>17</v>
      </c>
      <c r="I14" t="s">
        <v>15</v>
      </c>
    </row>
    <row r="15" spans="1:15">
      <c r="A15" t="s">
        <v>46</v>
      </c>
      <c r="B15" t="s">
        <v>47</v>
      </c>
      <c r="C15" t="s">
        <v>15</v>
      </c>
      <c r="D15" t="s">
        <v>23</v>
      </c>
      <c r="E15" t="s">
        <v>23</v>
      </c>
      <c r="F15" t="s">
        <v>16</v>
      </c>
      <c r="G15" t="s">
        <v>16</v>
      </c>
      <c r="H15" t="s">
        <v>17</v>
      </c>
      <c r="I15" t="s">
        <v>15</v>
      </c>
    </row>
    <row r="16" spans="1:15">
      <c r="A16" t="s">
        <v>48</v>
      </c>
      <c r="B16" t="s">
        <v>49</v>
      </c>
      <c r="C16" t="s">
        <v>50</v>
      </c>
      <c r="D16" t="s">
        <v>51</v>
      </c>
      <c r="E16">
        <v>8.6400000000000005E-2</v>
      </c>
      <c r="F16" t="s">
        <v>52</v>
      </c>
      <c r="G16" t="s">
        <v>20</v>
      </c>
      <c r="H16" t="s">
        <v>53</v>
      </c>
      <c r="I16" t="s">
        <v>50</v>
      </c>
    </row>
    <row r="17" spans="1:9">
      <c r="A17" s="2" t="s">
        <v>54</v>
      </c>
      <c r="B17" s="2" t="s">
        <v>55</v>
      </c>
      <c r="C17" s="2" t="s">
        <v>50</v>
      </c>
      <c r="D17" s="2" t="s">
        <v>51</v>
      </c>
      <c r="E17" s="2">
        <v>6.7699999999999996E-2</v>
      </c>
      <c r="F17" s="2" t="s">
        <v>52</v>
      </c>
      <c r="G17" s="2" t="s">
        <v>52</v>
      </c>
      <c r="H17" s="2" t="s">
        <v>56</v>
      </c>
      <c r="I17" s="2" t="s">
        <v>56</v>
      </c>
    </row>
    <row r="18" spans="1:9">
      <c r="A18" s="2" t="s">
        <v>57</v>
      </c>
      <c r="B18" s="2" t="s">
        <v>58</v>
      </c>
      <c r="C18" s="2" t="s">
        <v>50</v>
      </c>
      <c r="D18" s="2" t="s">
        <v>51</v>
      </c>
      <c r="E18" s="2">
        <v>0.254</v>
      </c>
      <c r="F18" s="2" t="s">
        <v>52</v>
      </c>
      <c r="G18" s="2" t="s">
        <v>20</v>
      </c>
      <c r="H18" s="2" t="s">
        <v>56</v>
      </c>
      <c r="I18" s="2" t="s">
        <v>56</v>
      </c>
    </row>
    <row r="19" spans="1:9">
      <c r="A19" s="2" t="s">
        <v>59</v>
      </c>
      <c r="B19" s="2" t="s">
        <v>60</v>
      </c>
      <c r="C19" s="2" t="s">
        <v>50</v>
      </c>
      <c r="D19" s="2" t="s">
        <v>23</v>
      </c>
      <c r="E19" s="2">
        <v>0.23599999999999999</v>
      </c>
      <c r="F19" s="2" t="s">
        <v>52</v>
      </c>
      <c r="G19" s="2" t="s">
        <v>20</v>
      </c>
      <c r="H19" s="2" t="s">
        <v>56</v>
      </c>
      <c r="I19" s="2" t="s">
        <v>56</v>
      </c>
    </row>
    <row r="20" spans="1:9">
      <c r="A20" t="s">
        <v>61</v>
      </c>
      <c r="B20" t="s">
        <v>62</v>
      </c>
      <c r="C20" t="s">
        <v>50</v>
      </c>
      <c r="D20" t="s">
        <v>23</v>
      </c>
      <c r="E20">
        <v>2.8500000000000001E-2</v>
      </c>
      <c r="F20" t="s">
        <v>52</v>
      </c>
      <c r="G20" t="s">
        <v>20</v>
      </c>
      <c r="H20" t="s">
        <v>53</v>
      </c>
      <c r="I20" t="s">
        <v>50</v>
      </c>
    </row>
    <row r="21" spans="1:9">
      <c r="A21" t="s">
        <v>63</v>
      </c>
      <c r="B21" t="s">
        <v>64</v>
      </c>
      <c r="C21" t="s">
        <v>50</v>
      </c>
      <c r="D21" t="s">
        <v>23</v>
      </c>
      <c r="E21">
        <v>3.0300000000000001E-2</v>
      </c>
      <c r="F21" t="s">
        <v>20</v>
      </c>
      <c r="G21" t="s">
        <v>20</v>
      </c>
      <c r="H21" t="s">
        <v>53</v>
      </c>
      <c r="I21" t="s">
        <v>50</v>
      </c>
    </row>
    <row r="22" spans="1:9">
      <c r="A22" t="s">
        <v>65</v>
      </c>
      <c r="B22" t="s">
        <v>66</v>
      </c>
      <c r="C22" t="s">
        <v>50</v>
      </c>
      <c r="D22" t="s">
        <v>23</v>
      </c>
      <c r="E22">
        <v>1.09E-2</v>
      </c>
      <c r="F22" t="s">
        <v>67</v>
      </c>
      <c r="G22" t="s">
        <v>52</v>
      </c>
      <c r="H22" t="s">
        <v>53</v>
      </c>
      <c r="I22" t="s">
        <v>50</v>
      </c>
    </row>
    <row r="23" spans="1:9">
      <c r="A23" s="2" t="s">
        <v>68</v>
      </c>
      <c r="B23" s="2" t="s">
        <v>69</v>
      </c>
      <c r="C23" s="2" t="s">
        <v>50</v>
      </c>
      <c r="D23" s="2" t="s">
        <v>23</v>
      </c>
      <c r="E23" s="2">
        <v>7.2800000000000004E-2</v>
      </c>
      <c r="F23" s="2" t="s">
        <v>52</v>
      </c>
      <c r="G23" s="2" t="s">
        <v>67</v>
      </c>
      <c r="H23" s="2" t="s">
        <v>56</v>
      </c>
      <c r="I23" s="2" t="s">
        <v>56</v>
      </c>
    </row>
    <row r="24" spans="1:9">
      <c r="A24" s="2" t="s">
        <v>70</v>
      </c>
      <c r="B24" s="2" t="s">
        <v>71</v>
      </c>
      <c r="C24" s="2" t="s">
        <v>50</v>
      </c>
      <c r="D24" s="2" t="s">
        <v>23</v>
      </c>
      <c r="E24" s="2">
        <v>1.24E-2</v>
      </c>
      <c r="F24" s="2" t="s">
        <v>20</v>
      </c>
      <c r="G24" s="2" t="s">
        <v>20</v>
      </c>
      <c r="H24" s="2" t="s">
        <v>56</v>
      </c>
      <c r="I24" s="2" t="s">
        <v>56</v>
      </c>
    </row>
    <row r="25" spans="1:9">
      <c r="A25" s="2" t="s">
        <v>72</v>
      </c>
      <c r="B25" s="2" t="s">
        <v>73</v>
      </c>
      <c r="C25" s="2" t="s">
        <v>50</v>
      </c>
      <c r="D25" s="2" t="s">
        <v>51</v>
      </c>
      <c r="E25" s="2">
        <v>0.17899999999999999</v>
      </c>
      <c r="F25" s="2" t="s">
        <v>67</v>
      </c>
      <c r="G25" s="2" t="s">
        <v>52</v>
      </c>
      <c r="H25" s="2" t="s">
        <v>56</v>
      </c>
      <c r="I25" s="2" t="s">
        <v>56</v>
      </c>
    </row>
    <row r="26" spans="1:9">
      <c r="A26" s="2" t="s">
        <v>74</v>
      </c>
      <c r="B26" s="2" t="s">
        <v>75</v>
      </c>
      <c r="C26" s="2" t="s">
        <v>50</v>
      </c>
      <c r="D26" s="2" t="s">
        <v>23</v>
      </c>
      <c r="E26" s="2">
        <v>5.4299999999999999E-3</v>
      </c>
      <c r="F26" s="2" t="s">
        <v>20</v>
      </c>
      <c r="G26" s="2" t="s">
        <v>52</v>
      </c>
      <c r="H26" s="2" t="s">
        <v>56</v>
      </c>
      <c r="I26" s="2" t="s">
        <v>56</v>
      </c>
    </row>
    <row r="27" spans="1:9">
      <c r="A27" t="s">
        <v>76</v>
      </c>
      <c r="B27" t="s">
        <v>77</v>
      </c>
      <c r="C27" t="s">
        <v>50</v>
      </c>
      <c r="D27" t="s">
        <v>23</v>
      </c>
      <c r="E27">
        <v>6.8399999999999997E-3</v>
      </c>
      <c r="F27" t="s">
        <v>52</v>
      </c>
      <c r="G27" t="s">
        <v>67</v>
      </c>
      <c r="H27" t="s">
        <v>53</v>
      </c>
      <c r="I27" t="s">
        <v>50</v>
      </c>
    </row>
    <row r="28" spans="1:9">
      <c r="A28" t="s">
        <v>78</v>
      </c>
      <c r="B28" t="s">
        <v>79</v>
      </c>
      <c r="C28" t="s">
        <v>50</v>
      </c>
      <c r="D28" t="s">
        <v>23</v>
      </c>
      <c r="E28">
        <v>0.219</v>
      </c>
      <c r="F28" t="s">
        <v>52</v>
      </c>
      <c r="G28" t="s">
        <v>20</v>
      </c>
      <c r="H28" t="s">
        <v>53</v>
      </c>
      <c r="I28" t="s">
        <v>50</v>
      </c>
    </row>
    <row r="29" spans="1:9">
      <c r="A29" s="2" t="s">
        <v>80</v>
      </c>
      <c r="B29" s="2" t="s">
        <v>81</v>
      </c>
      <c r="C29" s="2" t="s">
        <v>50</v>
      </c>
      <c r="D29" s="2" t="s">
        <v>23</v>
      </c>
      <c r="E29" s="2">
        <v>0.10100000000000001</v>
      </c>
      <c r="F29" s="2" t="s">
        <v>67</v>
      </c>
      <c r="G29" s="2" t="s">
        <v>52</v>
      </c>
      <c r="H29" s="2" t="s">
        <v>56</v>
      </c>
      <c r="I29" s="2" t="s">
        <v>56</v>
      </c>
    </row>
    <row r="30" spans="1:9">
      <c r="A30" s="2" t="s">
        <v>82</v>
      </c>
      <c r="B30" s="2" t="s">
        <v>83</v>
      </c>
      <c r="C30" s="2" t="s">
        <v>50</v>
      </c>
      <c r="D30" s="2" t="s">
        <v>23</v>
      </c>
      <c r="E30" s="2">
        <v>6.4500000000000002E-2</v>
      </c>
      <c r="F30" s="2" t="s">
        <v>52</v>
      </c>
      <c r="G30" s="2" t="s">
        <v>20</v>
      </c>
      <c r="H30" s="2" t="s">
        <v>56</v>
      </c>
      <c r="I30" s="2" t="s">
        <v>56</v>
      </c>
    </row>
    <row r="31" spans="1:9">
      <c r="A31" s="2" t="s">
        <v>84</v>
      </c>
      <c r="B31" s="2" t="s">
        <v>85</v>
      </c>
      <c r="C31" s="2" t="s">
        <v>50</v>
      </c>
      <c r="D31" s="2" t="s">
        <v>23</v>
      </c>
      <c r="E31" s="2">
        <v>2.9499999999999998E-2</v>
      </c>
      <c r="F31" s="2" t="s">
        <v>67</v>
      </c>
      <c r="G31" s="2" t="s">
        <v>52</v>
      </c>
      <c r="H31" s="2" t="s">
        <v>56</v>
      </c>
      <c r="I31" s="2" t="s">
        <v>56</v>
      </c>
    </row>
    <row r="32" spans="1:9">
      <c r="A32" s="2" t="s">
        <v>86</v>
      </c>
      <c r="B32" s="2" t="s">
        <v>87</v>
      </c>
      <c r="C32" s="2" t="s">
        <v>50</v>
      </c>
      <c r="D32" s="2" t="s">
        <v>23</v>
      </c>
      <c r="E32" s="2">
        <v>6.4100000000000004E-2</v>
      </c>
      <c r="F32" s="2" t="s">
        <v>67</v>
      </c>
      <c r="G32" s="2" t="s">
        <v>52</v>
      </c>
      <c r="H32" s="2" t="s">
        <v>56</v>
      </c>
      <c r="I32" s="2" t="s">
        <v>56</v>
      </c>
    </row>
    <row r="33" spans="1:9">
      <c r="A33" t="s">
        <v>88</v>
      </c>
      <c r="B33" t="s">
        <v>89</v>
      </c>
      <c r="C33" t="s">
        <v>50</v>
      </c>
      <c r="D33" t="s">
        <v>23</v>
      </c>
      <c r="E33">
        <v>3.5200000000000001E-3</v>
      </c>
      <c r="F33" t="s">
        <v>67</v>
      </c>
      <c r="G33" t="s">
        <v>52</v>
      </c>
      <c r="H33" t="s">
        <v>53</v>
      </c>
      <c r="I33" t="s">
        <v>50</v>
      </c>
    </row>
    <row r="34" spans="1:9">
      <c r="A34" s="2" t="s">
        <v>90</v>
      </c>
      <c r="B34" s="2" t="s">
        <v>91</v>
      </c>
      <c r="C34" s="2" t="s">
        <v>50</v>
      </c>
      <c r="D34" s="2" t="s">
        <v>23</v>
      </c>
      <c r="E34" s="2">
        <v>2.8299999999999999E-2</v>
      </c>
      <c r="F34" s="2" t="s">
        <v>67</v>
      </c>
      <c r="G34" s="2" t="s">
        <v>52</v>
      </c>
      <c r="H34" s="2" t="s">
        <v>56</v>
      </c>
      <c r="I34" s="2" t="s">
        <v>56</v>
      </c>
    </row>
    <row r="35" spans="1:9">
      <c r="A35" s="2" t="s">
        <v>92</v>
      </c>
      <c r="B35" s="2" t="s">
        <v>93</v>
      </c>
      <c r="C35" s="2" t="s">
        <v>50</v>
      </c>
      <c r="D35" s="2" t="s">
        <v>23</v>
      </c>
      <c r="E35" s="2" t="s">
        <v>23</v>
      </c>
      <c r="F35" s="2" t="s">
        <v>52</v>
      </c>
      <c r="G35" s="2" t="s">
        <v>31</v>
      </c>
      <c r="H35" s="2" t="s">
        <v>56</v>
      </c>
      <c r="I35" s="2" t="s">
        <v>56</v>
      </c>
    </row>
    <row r="36" spans="1:9">
      <c r="A36" s="2" t="s">
        <v>94</v>
      </c>
      <c r="B36" s="2" t="s">
        <v>95</v>
      </c>
      <c r="C36" s="2" t="s">
        <v>50</v>
      </c>
      <c r="D36" s="2" t="s">
        <v>51</v>
      </c>
      <c r="E36" s="2">
        <v>2.6499999999999999E-2</v>
      </c>
      <c r="F36" s="2" t="s">
        <v>96</v>
      </c>
      <c r="G36" s="2" t="s">
        <v>96</v>
      </c>
      <c r="H36" s="2" t="s">
        <v>56</v>
      </c>
      <c r="I36" s="2" t="s">
        <v>56</v>
      </c>
    </row>
    <row r="37" spans="1:9">
      <c r="A37" s="2" t="s">
        <v>97</v>
      </c>
      <c r="B37" s="2" t="s">
        <v>98</v>
      </c>
      <c r="C37" s="2" t="s">
        <v>50</v>
      </c>
      <c r="D37" s="2" t="s">
        <v>23</v>
      </c>
      <c r="E37" s="2" t="s">
        <v>23</v>
      </c>
      <c r="F37" s="2" t="s">
        <v>20</v>
      </c>
      <c r="G37" s="2" t="s">
        <v>16</v>
      </c>
      <c r="H37" s="2" t="s">
        <v>56</v>
      </c>
      <c r="I37" s="2" t="s">
        <v>56</v>
      </c>
    </row>
    <row r="38" spans="1:9">
      <c r="A38" s="2" t="s">
        <v>99</v>
      </c>
      <c r="B38" s="2" t="s">
        <v>100</v>
      </c>
      <c r="C38" s="2" t="s">
        <v>50</v>
      </c>
      <c r="D38" s="2" t="s">
        <v>23</v>
      </c>
      <c r="E38" s="2" t="s">
        <v>23</v>
      </c>
      <c r="F38" s="2" t="s">
        <v>20</v>
      </c>
      <c r="G38" s="2" t="s">
        <v>31</v>
      </c>
      <c r="H38" s="2" t="s">
        <v>56</v>
      </c>
      <c r="I38" s="2" t="s">
        <v>56</v>
      </c>
    </row>
    <row r="39" spans="1:9">
      <c r="A39" t="s">
        <v>101</v>
      </c>
      <c r="B39" t="s">
        <v>102</v>
      </c>
      <c r="C39" t="s">
        <v>50</v>
      </c>
      <c r="D39" t="s">
        <v>23</v>
      </c>
      <c r="E39">
        <v>0.26600000000000001</v>
      </c>
      <c r="F39" t="s">
        <v>20</v>
      </c>
      <c r="G39" t="s">
        <v>31</v>
      </c>
      <c r="H39" t="s">
        <v>53</v>
      </c>
      <c r="I39" t="s">
        <v>50</v>
      </c>
    </row>
    <row r="40" spans="1:9">
      <c r="A40" t="s">
        <v>103</v>
      </c>
      <c r="B40" t="s">
        <v>104</v>
      </c>
      <c r="C40" t="s">
        <v>50</v>
      </c>
      <c r="D40" t="s">
        <v>23</v>
      </c>
      <c r="E40">
        <v>4.0899999999999999E-2</v>
      </c>
      <c r="F40" t="s">
        <v>20</v>
      </c>
      <c r="G40" t="s">
        <v>31</v>
      </c>
      <c r="H40" t="s">
        <v>53</v>
      </c>
      <c r="I40" t="s">
        <v>50</v>
      </c>
    </row>
    <row r="41" spans="1:9">
      <c r="A41" s="2" t="s">
        <v>105</v>
      </c>
      <c r="B41" s="2" t="s">
        <v>106</v>
      </c>
      <c r="C41" s="2" t="s">
        <v>50</v>
      </c>
      <c r="D41" s="2" t="s">
        <v>23</v>
      </c>
      <c r="E41" s="2">
        <v>3.0599999999999998E-3</v>
      </c>
      <c r="F41" s="2" t="s">
        <v>96</v>
      </c>
      <c r="G41" s="2" t="s">
        <v>96</v>
      </c>
      <c r="H41" s="2" t="s">
        <v>56</v>
      </c>
      <c r="I41" s="2" t="s">
        <v>56</v>
      </c>
    </row>
    <row r="42" spans="1:9">
      <c r="A42" s="2" t="s">
        <v>107</v>
      </c>
      <c r="B42" s="2" t="s">
        <v>108</v>
      </c>
      <c r="C42" s="2" t="s">
        <v>50</v>
      </c>
      <c r="D42" s="2" t="s">
        <v>23</v>
      </c>
      <c r="E42" s="2">
        <v>1.8100000000000002E-2</v>
      </c>
      <c r="F42" s="2" t="s">
        <v>96</v>
      </c>
      <c r="G42" s="2" t="s">
        <v>96</v>
      </c>
      <c r="H42" s="2" t="s">
        <v>56</v>
      </c>
      <c r="I42" s="2" t="s">
        <v>56</v>
      </c>
    </row>
    <row r="43" spans="1:9">
      <c r="A43" s="2" t="s">
        <v>109</v>
      </c>
      <c r="B43" s="2" t="s">
        <v>110</v>
      </c>
      <c r="C43" s="2" t="s">
        <v>50</v>
      </c>
      <c r="D43" s="2" t="s">
        <v>23</v>
      </c>
      <c r="E43" s="2" t="s">
        <v>23</v>
      </c>
      <c r="F43" s="2" t="s">
        <v>31</v>
      </c>
      <c r="G43" s="2" t="s">
        <v>20</v>
      </c>
      <c r="H43" s="2" t="s">
        <v>56</v>
      </c>
      <c r="I43" s="2" t="s">
        <v>56</v>
      </c>
    </row>
    <row r="44" spans="1:9">
      <c r="A44" t="s">
        <v>111</v>
      </c>
      <c r="B44" t="s">
        <v>112</v>
      </c>
      <c r="C44" t="s">
        <v>50</v>
      </c>
      <c r="D44" t="s">
        <v>23</v>
      </c>
      <c r="E44">
        <v>4.5900000000000003E-2</v>
      </c>
      <c r="F44" t="s">
        <v>31</v>
      </c>
      <c r="G44" t="s">
        <v>31</v>
      </c>
      <c r="H44" t="s">
        <v>53</v>
      </c>
      <c r="I44" t="s">
        <v>50</v>
      </c>
    </row>
    <row r="45" spans="1:9">
      <c r="A45" t="s">
        <v>113</v>
      </c>
      <c r="B45" t="s">
        <v>114</v>
      </c>
      <c r="C45" t="s">
        <v>50</v>
      </c>
      <c r="D45" t="s">
        <v>23</v>
      </c>
      <c r="E45">
        <v>0.26300000000000001</v>
      </c>
      <c r="F45" t="s">
        <v>52</v>
      </c>
      <c r="G45" t="s">
        <v>31</v>
      </c>
      <c r="H45" t="s">
        <v>53</v>
      </c>
      <c r="I45" t="s">
        <v>50</v>
      </c>
    </row>
    <row r="46" spans="1:9">
      <c r="A46" s="2" t="s">
        <v>115</v>
      </c>
      <c r="B46" s="2" t="s">
        <v>116</v>
      </c>
      <c r="C46" s="2" t="s">
        <v>50</v>
      </c>
      <c r="D46" s="2" t="s">
        <v>23</v>
      </c>
      <c r="E46" s="2" t="s">
        <v>23</v>
      </c>
      <c r="F46" s="2" t="s">
        <v>67</v>
      </c>
      <c r="G46" s="2" t="s">
        <v>52</v>
      </c>
      <c r="H46" s="2" t="s">
        <v>56</v>
      </c>
      <c r="I46" s="2" t="s">
        <v>56</v>
      </c>
    </row>
    <row r="47" spans="1:9">
      <c r="A47" t="s">
        <v>117</v>
      </c>
      <c r="B47" t="s">
        <v>118</v>
      </c>
      <c r="C47" t="s">
        <v>50</v>
      </c>
      <c r="D47" t="s">
        <v>50</v>
      </c>
      <c r="E47">
        <v>0.4</v>
      </c>
      <c r="F47" t="s">
        <v>20</v>
      </c>
      <c r="G47" t="s">
        <v>16</v>
      </c>
      <c r="H47" t="s">
        <v>53</v>
      </c>
      <c r="I47" t="s">
        <v>50</v>
      </c>
    </row>
    <row r="48" spans="1:9">
      <c r="A48" t="s">
        <v>119</v>
      </c>
      <c r="B48" t="s">
        <v>120</v>
      </c>
      <c r="C48" t="s">
        <v>50</v>
      </c>
      <c r="D48" t="s">
        <v>23</v>
      </c>
      <c r="E48">
        <v>0.11799999999999999</v>
      </c>
      <c r="F48" t="s">
        <v>52</v>
      </c>
      <c r="G48" t="s">
        <v>31</v>
      </c>
      <c r="H48" t="s">
        <v>53</v>
      </c>
      <c r="I48" t="s">
        <v>50</v>
      </c>
    </row>
    <row r="49" spans="1:9">
      <c r="A49" t="s">
        <v>121</v>
      </c>
      <c r="B49" t="s">
        <v>122</v>
      </c>
      <c r="C49" t="s">
        <v>50</v>
      </c>
      <c r="D49" t="s">
        <v>23</v>
      </c>
      <c r="E49" t="s">
        <v>23</v>
      </c>
      <c r="F49" t="s">
        <v>20</v>
      </c>
      <c r="G49" t="s">
        <v>16</v>
      </c>
      <c r="H49" t="s">
        <v>53</v>
      </c>
      <c r="I49" t="s">
        <v>50</v>
      </c>
    </row>
    <row r="50" spans="1:9">
      <c r="A50" t="s">
        <v>123</v>
      </c>
      <c r="B50" t="s">
        <v>124</v>
      </c>
      <c r="C50" t="s">
        <v>50</v>
      </c>
      <c r="D50" t="s">
        <v>23</v>
      </c>
      <c r="E50" t="s">
        <v>23</v>
      </c>
      <c r="F50" t="s">
        <v>52</v>
      </c>
      <c r="G50" t="s">
        <v>31</v>
      </c>
      <c r="H50" t="s">
        <v>53</v>
      </c>
      <c r="I50" t="s">
        <v>50</v>
      </c>
    </row>
    <row r="51" spans="1:9">
      <c r="A51" t="s">
        <v>125</v>
      </c>
      <c r="B51" t="s">
        <v>126</v>
      </c>
      <c r="C51" t="s">
        <v>50</v>
      </c>
      <c r="D51" t="s">
        <v>23</v>
      </c>
      <c r="E51" t="s">
        <v>23</v>
      </c>
      <c r="F51" t="s">
        <v>52</v>
      </c>
      <c r="G51" t="s">
        <v>31</v>
      </c>
      <c r="H51" t="s">
        <v>53</v>
      </c>
      <c r="I51" t="s">
        <v>50</v>
      </c>
    </row>
    <row r="52" spans="1:9">
      <c r="A52" s="2" t="s">
        <v>127</v>
      </c>
      <c r="B52" s="2" t="s">
        <v>128</v>
      </c>
      <c r="C52" s="2" t="s">
        <v>50</v>
      </c>
      <c r="D52" s="2" t="s">
        <v>23</v>
      </c>
      <c r="E52" s="2" t="s">
        <v>23</v>
      </c>
      <c r="F52" s="2" t="s">
        <v>52</v>
      </c>
      <c r="G52" s="2" t="s">
        <v>67</v>
      </c>
      <c r="H52" s="2" t="s">
        <v>56</v>
      </c>
      <c r="I52" s="2" t="s">
        <v>56</v>
      </c>
    </row>
    <row r="53" spans="1:9">
      <c r="A53" t="s">
        <v>129</v>
      </c>
      <c r="B53" t="s">
        <v>130</v>
      </c>
      <c r="C53" t="s">
        <v>50</v>
      </c>
      <c r="D53" t="s">
        <v>23</v>
      </c>
      <c r="E53">
        <v>0.26900000000000002</v>
      </c>
      <c r="F53" t="s">
        <v>20</v>
      </c>
      <c r="G53" t="s">
        <v>16</v>
      </c>
      <c r="H53" t="s">
        <v>53</v>
      </c>
      <c r="I53" t="s">
        <v>50</v>
      </c>
    </row>
    <row r="54" spans="1:9">
      <c r="A54" t="s">
        <v>131</v>
      </c>
      <c r="B54" t="s">
        <v>132</v>
      </c>
      <c r="C54" t="s">
        <v>50</v>
      </c>
      <c r="D54" t="s">
        <v>50</v>
      </c>
      <c r="E54">
        <v>0.376</v>
      </c>
      <c r="F54" t="s">
        <v>20</v>
      </c>
      <c r="G54" t="s">
        <v>16</v>
      </c>
      <c r="H54" t="s">
        <v>53</v>
      </c>
      <c r="I54" t="s">
        <v>50</v>
      </c>
    </row>
    <row r="55" spans="1:9">
      <c r="A55" s="2" t="s">
        <v>133</v>
      </c>
      <c r="B55" s="2" t="s">
        <v>134</v>
      </c>
      <c r="C55" s="2" t="s">
        <v>50</v>
      </c>
      <c r="D55" s="2" t="s">
        <v>23</v>
      </c>
      <c r="E55" s="2" t="s">
        <v>23</v>
      </c>
      <c r="F55" s="2" t="s">
        <v>52</v>
      </c>
      <c r="G55" s="2" t="s">
        <v>31</v>
      </c>
      <c r="H55" s="2" t="s">
        <v>56</v>
      </c>
      <c r="I55" s="2" t="s">
        <v>56</v>
      </c>
    </row>
    <row r="56" spans="1:9">
      <c r="A56" t="s">
        <v>135</v>
      </c>
      <c r="B56" t="s">
        <v>136</v>
      </c>
      <c r="C56" t="s">
        <v>50</v>
      </c>
      <c r="D56" t="s">
        <v>23</v>
      </c>
      <c r="E56">
        <v>0.251</v>
      </c>
      <c r="F56" t="s">
        <v>20</v>
      </c>
      <c r="G56" t="s">
        <v>16</v>
      </c>
      <c r="H56" t="s">
        <v>53</v>
      </c>
      <c r="I56" t="s">
        <v>50</v>
      </c>
    </row>
    <row r="57" spans="1:9">
      <c r="A57" t="s">
        <v>137</v>
      </c>
      <c r="B57" t="s">
        <v>138</v>
      </c>
      <c r="C57" t="s">
        <v>50</v>
      </c>
      <c r="D57" t="s">
        <v>23</v>
      </c>
      <c r="E57">
        <v>0.161</v>
      </c>
      <c r="F57" t="s">
        <v>52</v>
      </c>
      <c r="G57" t="s">
        <v>16</v>
      </c>
      <c r="H57" t="s">
        <v>53</v>
      </c>
      <c r="I57" t="s">
        <v>50</v>
      </c>
    </row>
    <row r="58" spans="1:9">
      <c r="A58" s="2" t="s">
        <v>139</v>
      </c>
      <c r="B58" s="2" t="s">
        <v>140</v>
      </c>
      <c r="C58" s="2" t="s">
        <v>50</v>
      </c>
      <c r="D58" s="2" t="s">
        <v>23</v>
      </c>
      <c r="E58" s="2" t="s">
        <v>23</v>
      </c>
      <c r="F58" s="2" t="s">
        <v>52</v>
      </c>
      <c r="G58" s="2" t="s">
        <v>31</v>
      </c>
      <c r="H58" s="2" t="s">
        <v>56</v>
      </c>
      <c r="I58" s="2" t="s">
        <v>56</v>
      </c>
    </row>
    <row r="59" spans="1:9">
      <c r="A59" t="s">
        <v>141</v>
      </c>
      <c r="B59" t="s">
        <v>142</v>
      </c>
      <c r="C59" t="s">
        <v>50</v>
      </c>
      <c r="D59" t="s">
        <v>23</v>
      </c>
      <c r="E59" t="s">
        <v>23</v>
      </c>
      <c r="F59" t="s">
        <v>20</v>
      </c>
      <c r="G59" t="s">
        <v>31</v>
      </c>
      <c r="H59" t="s">
        <v>53</v>
      </c>
      <c r="I59" t="s">
        <v>50</v>
      </c>
    </row>
    <row r="60" spans="1:9">
      <c r="A60" s="2" t="s">
        <v>143</v>
      </c>
      <c r="B60" s="2" t="s">
        <v>144</v>
      </c>
      <c r="C60" s="2" t="s">
        <v>50</v>
      </c>
      <c r="D60" s="2" t="s">
        <v>23</v>
      </c>
      <c r="E60" s="2">
        <v>5.6400000000000002E-5</v>
      </c>
      <c r="F60" s="2" t="s">
        <v>52</v>
      </c>
      <c r="G60" s="2" t="s">
        <v>31</v>
      </c>
      <c r="H60" s="2" t="s">
        <v>56</v>
      </c>
      <c r="I60" s="2" t="s">
        <v>56</v>
      </c>
    </row>
    <row r="61" spans="1:9">
      <c r="A61" t="s">
        <v>145</v>
      </c>
      <c r="B61" t="s">
        <v>146</v>
      </c>
      <c r="C61" t="s">
        <v>50</v>
      </c>
      <c r="D61" t="s">
        <v>23</v>
      </c>
      <c r="E61">
        <v>0.23400000000000001</v>
      </c>
      <c r="F61" t="s">
        <v>52</v>
      </c>
      <c r="G61" t="s">
        <v>31</v>
      </c>
      <c r="H61" t="s">
        <v>53</v>
      </c>
      <c r="I61" t="s">
        <v>50</v>
      </c>
    </row>
    <row r="62" spans="1:9">
      <c r="A62" s="2" t="s">
        <v>147</v>
      </c>
      <c r="B62" s="2" t="s">
        <v>148</v>
      </c>
      <c r="C62" s="2" t="s">
        <v>50</v>
      </c>
      <c r="D62" s="2" t="s">
        <v>23</v>
      </c>
      <c r="E62" s="2" t="s">
        <v>23</v>
      </c>
      <c r="F62" s="2" t="s">
        <v>20</v>
      </c>
      <c r="G62" s="2" t="s">
        <v>31</v>
      </c>
      <c r="H62" s="2" t="s">
        <v>56</v>
      </c>
      <c r="I62" s="2" t="s">
        <v>56</v>
      </c>
    </row>
    <row r="63" spans="1:9">
      <c r="A63" t="s">
        <v>149</v>
      </c>
      <c r="B63" t="s">
        <v>150</v>
      </c>
      <c r="C63" t="s">
        <v>50</v>
      </c>
      <c r="D63" t="s">
        <v>23</v>
      </c>
      <c r="E63" t="s">
        <v>23</v>
      </c>
      <c r="F63" t="s">
        <v>20</v>
      </c>
      <c r="G63" t="s">
        <v>16</v>
      </c>
      <c r="H63" t="s">
        <v>53</v>
      </c>
      <c r="I63" t="s">
        <v>50</v>
      </c>
    </row>
    <row r="64" spans="1:9">
      <c r="A64" s="2" t="s">
        <v>151</v>
      </c>
      <c r="B64" s="2" t="s">
        <v>152</v>
      </c>
      <c r="C64" s="2" t="s">
        <v>50</v>
      </c>
      <c r="D64" s="2" t="s">
        <v>23</v>
      </c>
      <c r="E64" s="2">
        <v>0</v>
      </c>
      <c r="F64" s="2" t="s">
        <v>52</v>
      </c>
      <c r="G64" s="2" t="s">
        <v>67</v>
      </c>
      <c r="H64" s="2" t="s">
        <v>56</v>
      </c>
      <c r="I64" s="2" t="s">
        <v>56</v>
      </c>
    </row>
    <row r="65" spans="1:9">
      <c r="A65" t="s">
        <v>153</v>
      </c>
      <c r="B65" t="s">
        <v>154</v>
      </c>
      <c r="C65" t="s">
        <v>50</v>
      </c>
      <c r="D65" t="s">
        <v>23</v>
      </c>
      <c r="E65">
        <v>0.28199999999999997</v>
      </c>
      <c r="F65" t="s">
        <v>20</v>
      </c>
      <c r="G65" t="s">
        <v>16</v>
      </c>
      <c r="H65" t="s">
        <v>53</v>
      </c>
      <c r="I65" t="s">
        <v>50</v>
      </c>
    </row>
    <row r="66" spans="1:9">
      <c r="A66" s="2" t="s">
        <v>155</v>
      </c>
      <c r="B66" s="2" t="s">
        <v>156</v>
      </c>
      <c r="C66" s="2" t="s">
        <v>50</v>
      </c>
      <c r="D66" s="2" t="s">
        <v>23</v>
      </c>
      <c r="E66" s="2">
        <v>0</v>
      </c>
      <c r="F66" s="2" t="s">
        <v>20</v>
      </c>
      <c r="G66" s="2" t="s">
        <v>20</v>
      </c>
      <c r="H66" s="2" t="s">
        <v>56</v>
      </c>
      <c r="I66" s="2" t="s">
        <v>56</v>
      </c>
    </row>
    <row r="67" spans="1:9">
      <c r="A67" s="2" t="s">
        <v>157</v>
      </c>
      <c r="B67" s="2" t="s">
        <v>158</v>
      </c>
      <c r="C67" s="2" t="s">
        <v>50</v>
      </c>
      <c r="D67" s="2" t="s">
        <v>23</v>
      </c>
      <c r="E67" s="2">
        <v>0.19</v>
      </c>
      <c r="F67" s="2" t="s">
        <v>52</v>
      </c>
      <c r="G67" s="2" t="s">
        <v>31</v>
      </c>
      <c r="H67" s="2" t="s">
        <v>56</v>
      </c>
      <c r="I67" s="2" t="s">
        <v>56</v>
      </c>
    </row>
    <row r="68" spans="1:9">
      <c r="A68" t="s">
        <v>159</v>
      </c>
      <c r="B68" t="s">
        <v>160</v>
      </c>
      <c r="C68" t="s">
        <v>50</v>
      </c>
      <c r="D68" t="s">
        <v>50</v>
      </c>
      <c r="E68">
        <v>0.45</v>
      </c>
      <c r="F68" t="s">
        <v>20</v>
      </c>
      <c r="G68" t="s">
        <v>16</v>
      </c>
      <c r="H68" t="s">
        <v>53</v>
      </c>
      <c r="I68" t="s">
        <v>50</v>
      </c>
    </row>
    <row r="69" spans="1:9">
      <c r="A69" t="s">
        <v>161</v>
      </c>
      <c r="B69" t="s">
        <v>162</v>
      </c>
      <c r="C69" t="s">
        <v>50</v>
      </c>
      <c r="D69" t="s">
        <v>23</v>
      </c>
      <c r="E69">
        <v>0.13800000000000001</v>
      </c>
      <c r="F69" t="s">
        <v>52</v>
      </c>
      <c r="G69" t="s">
        <v>31</v>
      </c>
      <c r="H69" t="s">
        <v>53</v>
      </c>
      <c r="I69" t="s">
        <v>50</v>
      </c>
    </row>
    <row r="70" spans="1:9">
      <c r="A70" t="s">
        <v>163</v>
      </c>
      <c r="B70" t="s">
        <v>164</v>
      </c>
      <c r="C70" t="s">
        <v>50</v>
      </c>
      <c r="D70" t="s">
        <v>23</v>
      </c>
      <c r="E70" t="s">
        <v>23</v>
      </c>
      <c r="F70" t="s">
        <v>31</v>
      </c>
      <c r="G70" t="s">
        <v>20</v>
      </c>
      <c r="H70" t="s">
        <v>53</v>
      </c>
      <c r="I70" t="s">
        <v>50</v>
      </c>
    </row>
    <row r="71" spans="1:9">
      <c r="A71" s="2" t="s">
        <v>165</v>
      </c>
      <c r="B71" s="2" t="s">
        <v>166</v>
      </c>
      <c r="C71" s="2" t="s">
        <v>50</v>
      </c>
      <c r="D71" s="2" t="s">
        <v>23</v>
      </c>
      <c r="E71" s="2" t="s">
        <v>23</v>
      </c>
      <c r="F71" s="2" t="s">
        <v>31</v>
      </c>
      <c r="G71" s="2" t="s">
        <v>31</v>
      </c>
      <c r="H71" s="2" t="s">
        <v>56</v>
      </c>
      <c r="I71" s="2" t="s">
        <v>56</v>
      </c>
    </row>
    <row r="72" spans="1:9">
      <c r="A72" t="s">
        <v>167</v>
      </c>
      <c r="B72" t="s">
        <v>168</v>
      </c>
      <c r="C72" t="s">
        <v>50</v>
      </c>
      <c r="D72" t="s">
        <v>23</v>
      </c>
      <c r="E72" t="s">
        <v>23</v>
      </c>
      <c r="F72" t="s">
        <v>52</v>
      </c>
      <c r="G72" t="s">
        <v>31</v>
      </c>
      <c r="H72" t="s">
        <v>53</v>
      </c>
      <c r="I72" t="s">
        <v>50</v>
      </c>
    </row>
    <row r="73" spans="1:9">
      <c r="A73" t="s">
        <v>169</v>
      </c>
      <c r="B73" t="s">
        <v>170</v>
      </c>
      <c r="C73" t="s">
        <v>50</v>
      </c>
      <c r="D73" t="s">
        <v>23</v>
      </c>
      <c r="E73">
        <v>0.20499999999999999</v>
      </c>
      <c r="F73" t="s">
        <v>20</v>
      </c>
      <c r="G73" t="s">
        <v>16</v>
      </c>
      <c r="H73" t="s">
        <v>53</v>
      </c>
      <c r="I73" t="s">
        <v>50</v>
      </c>
    </row>
    <row r="74" spans="1:9">
      <c r="A74" t="s">
        <v>171</v>
      </c>
      <c r="B74" t="s">
        <v>172</v>
      </c>
      <c r="C74" t="s">
        <v>50</v>
      </c>
      <c r="D74" t="s">
        <v>23</v>
      </c>
      <c r="E74">
        <v>0.38300000000000001</v>
      </c>
      <c r="F74" t="s">
        <v>52</v>
      </c>
      <c r="G74" t="s">
        <v>31</v>
      </c>
      <c r="H74" t="s">
        <v>53</v>
      </c>
      <c r="I74" t="s">
        <v>50</v>
      </c>
    </row>
    <row r="75" spans="1:9">
      <c r="A75" s="2" t="s">
        <v>173</v>
      </c>
      <c r="B75" s="2" t="s">
        <v>174</v>
      </c>
      <c r="C75" s="2" t="s">
        <v>50</v>
      </c>
      <c r="D75" s="2" t="s">
        <v>23</v>
      </c>
      <c r="E75" s="2" t="s">
        <v>23</v>
      </c>
      <c r="F75" s="2" t="s">
        <v>52</v>
      </c>
      <c r="G75" s="2" t="s">
        <v>31</v>
      </c>
      <c r="H75" s="2" t="s">
        <v>56</v>
      </c>
      <c r="I75" s="2" t="s">
        <v>56</v>
      </c>
    </row>
    <row r="76" spans="1:9">
      <c r="A76" t="s">
        <v>175</v>
      </c>
      <c r="B76" t="s">
        <v>176</v>
      </c>
      <c r="C76" t="s">
        <v>50</v>
      </c>
      <c r="D76" t="s">
        <v>23</v>
      </c>
      <c r="E76" t="s">
        <v>23</v>
      </c>
      <c r="F76" t="s">
        <v>52</v>
      </c>
      <c r="G76" t="s">
        <v>31</v>
      </c>
      <c r="H76" t="s">
        <v>53</v>
      </c>
      <c r="I76" t="s">
        <v>50</v>
      </c>
    </row>
    <row r="77" spans="1:9">
      <c r="A77" t="s">
        <v>177</v>
      </c>
      <c r="B77" t="s">
        <v>178</v>
      </c>
      <c r="C77" t="s">
        <v>50</v>
      </c>
      <c r="D77" t="s">
        <v>23</v>
      </c>
      <c r="E77">
        <v>0.16300000000000001</v>
      </c>
      <c r="F77" t="s">
        <v>20</v>
      </c>
      <c r="G77" t="s">
        <v>16</v>
      </c>
      <c r="H77" t="s">
        <v>53</v>
      </c>
      <c r="I77" t="s">
        <v>50</v>
      </c>
    </row>
    <row r="78" spans="1:9">
      <c r="A78" t="s">
        <v>179</v>
      </c>
      <c r="B78" t="s">
        <v>180</v>
      </c>
      <c r="C78" t="s">
        <v>50</v>
      </c>
      <c r="D78" t="s">
        <v>23</v>
      </c>
      <c r="E78">
        <v>0.17399999999999999</v>
      </c>
      <c r="F78" t="s">
        <v>20</v>
      </c>
      <c r="G78" t="s">
        <v>16</v>
      </c>
      <c r="H78" t="s">
        <v>53</v>
      </c>
      <c r="I78" t="s">
        <v>50</v>
      </c>
    </row>
    <row r="79" spans="1:9">
      <c r="A79" t="s">
        <v>181</v>
      </c>
      <c r="B79" t="s">
        <v>182</v>
      </c>
      <c r="C79" t="s">
        <v>50</v>
      </c>
      <c r="D79" t="s">
        <v>50</v>
      </c>
      <c r="E79">
        <v>0.38500000000000001</v>
      </c>
      <c r="F79" t="s">
        <v>52</v>
      </c>
      <c r="G79" t="s">
        <v>31</v>
      </c>
      <c r="H79" t="s">
        <v>53</v>
      </c>
      <c r="I79" t="s">
        <v>50</v>
      </c>
    </row>
    <row r="80" spans="1:9">
      <c r="A80" s="2" t="s">
        <v>183</v>
      </c>
      <c r="B80" s="2" t="s">
        <v>184</v>
      </c>
      <c r="C80" s="2" t="s">
        <v>50</v>
      </c>
      <c r="D80" s="2" t="s">
        <v>23</v>
      </c>
      <c r="E80" s="2">
        <v>5.0700000000000002E-2</v>
      </c>
      <c r="F80" s="2" t="s">
        <v>52</v>
      </c>
      <c r="G80" s="2" t="s">
        <v>31</v>
      </c>
      <c r="H80" s="2" t="s">
        <v>56</v>
      </c>
      <c r="I80" s="2" t="s">
        <v>56</v>
      </c>
    </row>
    <row r="81" spans="1:9">
      <c r="A81" t="s">
        <v>185</v>
      </c>
      <c r="B81" t="s">
        <v>186</v>
      </c>
      <c r="C81" t="s">
        <v>28</v>
      </c>
      <c r="D81" t="str">
        <f>_xlfn.IFNA(INDEX('[1]Browne et al'!$A$1:$D$27, MATCH(B81,'[1]Browne et al'!A:A,0), 3), "")</f>
        <v/>
      </c>
      <c r="E81" t="s">
        <v>23</v>
      </c>
      <c r="F81" t="s">
        <v>31</v>
      </c>
      <c r="G81" t="s">
        <v>16</v>
      </c>
      <c r="H81" t="s">
        <v>187</v>
      </c>
      <c r="I81" t="s">
        <v>28</v>
      </c>
    </row>
    <row r="82" spans="1:9">
      <c r="A82" t="s">
        <v>188</v>
      </c>
      <c r="B82" t="s">
        <v>189</v>
      </c>
      <c r="C82" t="s">
        <v>28</v>
      </c>
      <c r="D82" t="str">
        <f>_xlfn.IFNA(INDEX('[1]Browne et al'!$A$1:$D$27, MATCH(B82,'[1]Browne et al'!A:A,0), 3), "")</f>
        <v/>
      </c>
      <c r="E82" t="s">
        <v>23</v>
      </c>
      <c r="F82" t="s">
        <v>31</v>
      </c>
      <c r="G82" t="s">
        <v>16</v>
      </c>
      <c r="H82" t="s">
        <v>187</v>
      </c>
      <c r="I82" t="s">
        <v>28</v>
      </c>
    </row>
    <row r="83" spans="1:9">
      <c r="A83" t="s">
        <v>190</v>
      </c>
      <c r="B83" t="s">
        <v>191</v>
      </c>
      <c r="C83" t="s">
        <v>28</v>
      </c>
      <c r="D83" t="str">
        <f>_xlfn.IFNA(INDEX('[1]Browne et al'!$A$1:$D$27, MATCH(B83,'[1]Browne et al'!A:A,0), 3), "")</f>
        <v/>
      </c>
      <c r="E83" t="s">
        <v>23</v>
      </c>
      <c r="F83" t="s">
        <v>52</v>
      </c>
      <c r="G83" t="s">
        <v>16</v>
      </c>
      <c r="H83" t="s">
        <v>187</v>
      </c>
      <c r="I83" t="s">
        <v>28</v>
      </c>
    </row>
    <row r="84" spans="1:9">
      <c r="A84" t="s">
        <v>192</v>
      </c>
      <c r="B84" t="s">
        <v>193</v>
      </c>
      <c r="C84" t="s">
        <v>28</v>
      </c>
      <c r="D84" t="str">
        <f>_xlfn.IFNA(INDEX('[1]Browne et al'!$A$1:$D$27, MATCH(B84,'[1]Browne et al'!A:A,0), 3), "")</f>
        <v/>
      </c>
      <c r="E84" t="s">
        <v>23</v>
      </c>
      <c r="F84" t="s">
        <v>96</v>
      </c>
      <c r="G84" t="s">
        <v>67</v>
      </c>
      <c r="H84" t="s">
        <v>187</v>
      </c>
      <c r="I84" t="s">
        <v>28</v>
      </c>
    </row>
    <row r="85" spans="1:9">
      <c r="A85" t="s">
        <v>194</v>
      </c>
      <c r="B85" t="s">
        <v>195</v>
      </c>
      <c r="C85" t="s">
        <v>28</v>
      </c>
      <c r="D85" t="str">
        <f>_xlfn.IFNA(INDEX('[1]Browne et al'!$A$1:$D$27, MATCH(B85,'[1]Browne et al'!A:A,0), 3), "")</f>
        <v/>
      </c>
      <c r="E85" t="s">
        <v>23</v>
      </c>
      <c r="F85" t="s">
        <v>52</v>
      </c>
      <c r="G85" t="s">
        <v>31</v>
      </c>
      <c r="H85" t="s">
        <v>187</v>
      </c>
      <c r="I85" t="s">
        <v>28</v>
      </c>
    </row>
    <row r="86" spans="1:9">
      <c r="A86" t="s">
        <v>196</v>
      </c>
      <c r="B86" t="s">
        <v>197</v>
      </c>
      <c r="C86" t="s">
        <v>28</v>
      </c>
      <c r="D86" t="str">
        <f>_xlfn.IFNA(INDEX('[1]Browne et al'!$A$1:$D$27, MATCH(B86,'[1]Browne et al'!A:A,0), 3), "")</f>
        <v/>
      </c>
      <c r="E86" t="s">
        <v>23</v>
      </c>
      <c r="F86" t="s">
        <v>20</v>
      </c>
      <c r="G86" t="s">
        <v>31</v>
      </c>
      <c r="H86" t="s">
        <v>187</v>
      </c>
      <c r="I86" t="s">
        <v>28</v>
      </c>
    </row>
    <row r="87" spans="1:9">
      <c r="A87" t="s">
        <v>198</v>
      </c>
      <c r="B87" t="s">
        <v>199</v>
      </c>
      <c r="C87" t="s">
        <v>28</v>
      </c>
      <c r="D87" t="str">
        <f>_xlfn.IFNA(INDEX('[1]Browne et al'!$A$1:$D$27, MATCH(B87,'[1]Browne et al'!A:A,0), 3), "")</f>
        <v>weak</v>
      </c>
      <c r="E87">
        <v>0.49099999999999999</v>
      </c>
      <c r="F87" t="s">
        <v>20</v>
      </c>
      <c r="G87" t="s">
        <v>16</v>
      </c>
      <c r="H87" t="s">
        <v>187</v>
      </c>
      <c r="I87" t="s">
        <v>28</v>
      </c>
    </row>
    <row r="88" spans="1:9">
      <c r="A88" t="s">
        <v>200</v>
      </c>
      <c r="B88" t="s">
        <v>201</v>
      </c>
      <c r="C88" t="s">
        <v>28</v>
      </c>
      <c r="D88" t="str">
        <f>_xlfn.IFNA(INDEX('[1]Browne et al'!$A$1:$D$27, MATCH(B88,'[1]Browne et al'!A:A,0), 3), "")</f>
        <v/>
      </c>
      <c r="E88" t="s">
        <v>23</v>
      </c>
      <c r="F88" t="s">
        <v>52</v>
      </c>
      <c r="G88" t="s">
        <v>31</v>
      </c>
      <c r="H88" t="s">
        <v>187</v>
      </c>
      <c r="I88" t="s">
        <v>28</v>
      </c>
    </row>
    <row r="89" spans="1:9">
      <c r="A89" t="s">
        <v>202</v>
      </c>
      <c r="B89" t="s">
        <v>203</v>
      </c>
      <c r="C89" t="s">
        <v>28</v>
      </c>
      <c r="D89" t="str">
        <f>_xlfn.IFNA(INDEX('[1]Browne et al'!$A$1:$D$27, MATCH(B89,'[1]Browne et al'!A:A,0), 3), "")</f>
        <v>moderate</v>
      </c>
      <c r="E89">
        <v>0.39300000000000002</v>
      </c>
      <c r="F89" t="s">
        <v>20</v>
      </c>
      <c r="G89" t="s">
        <v>16</v>
      </c>
      <c r="H89" t="s">
        <v>187</v>
      </c>
      <c r="I89" t="s">
        <v>28</v>
      </c>
    </row>
    <row r="90" spans="1:9">
      <c r="A90" t="s">
        <v>204</v>
      </c>
      <c r="B90" t="s">
        <v>205</v>
      </c>
      <c r="C90" t="s">
        <v>28</v>
      </c>
      <c r="D90" t="str">
        <f>_xlfn.IFNA(INDEX('[1]Browne et al'!$A$1:$D$27, MATCH(B90,'[1]Browne et al'!A:A,0), 3), "")</f>
        <v/>
      </c>
      <c r="E90" t="s">
        <v>23</v>
      </c>
      <c r="F90" t="s">
        <v>52</v>
      </c>
      <c r="G90" t="s">
        <v>16</v>
      </c>
      <c r="H90" t="s">
        <v>187</v>
      </c>
      <c r="I90" t="s">
        <v>28</v>
      </c>
    </row>
    <row r="91" spans="1:9">
      <c r="A91" t="s">
        <v>206</v>
      </c>
      <c r="B91" t="s">
        <v>207</v>
      </c>
      <c r="C91" t="s">
        <v>28</v>
      </c>
      <c r="D91" t="str">
        <f>_xlfn.IFNA(INDEX('[1]Browne et al'!$A$1:$D$27, MATCH(B91,'[1]Browne et al'!A:A,0), 3), "")</f>
        <v/>
      </c>
      <c r="E91">
        <v>0.56799999999999995</v>
      </c>
      <c r="F91" t="s">
        <v>20</v>
      </c>
      <c r="G91" t="s">
        <v>16</v>
      </c>
      <c r="H91" t="s">
        <v>187</v>
      </c>
      <c r="I91" t="s">
        <v>28</v>
      </c>
    </row>
    <row r="92" spans="1:9">
      <c r="A92" t="s">
        <v>208</v>
      </c>
      <c r="B92" t="s">
        <v>209</v>
      </c>
      <c r="C92" t="s">
        <v>28</v>
      </c>
      <c r="D92" t="str">
        <f>_xlfn.IFNA(INDEX('[1]Browne et al'!$A$1:$D$27, MATCH(B92,'[1]Browne et al'!A:A,0), 3), "")</f>
        <v/>
      </c>
      <c r="E92">
        <v>9.98E-2</v>
      </c>
      <c r="F92" t="s">
        <v>52</v>
      </c>
      <c r="G92" t="s">
        <v>31</v>
      </c>
      <c r="H92" t="s">
        <v>187</v>
      </c>
      <c r="I92" t="s">
        <v>28</v>
      </c>
    </row>
    <row r="93" spans="1:9">
      <c r="A93" t="s">
        <v>210</v>
      </c>
      <c r="B93" t="s">
        <v>211</v>
      </c>
      <c r="C93" t="s">
        <v>28</v>
      </c>
      <c r="D93" t="str">
        <f>_xlfn.IFNA(INDEX('[1]Browne et al'!$A$1:$D$27, MATCH(B93,'[1]Browne et al'!A:A,0), 3), "")</f>
        <v/>
      </c>
      <c r="E93" t="s">
        <v>23</v>
      </c>
      <c r="F93" t="s">
        <v>31</v>
      </c>
      <c r="G93" t="s">
        <v>16</v>
      </c>
      <c r="H93" t="s">
        <v>187</v>
      </c>
      <c r="I93" t="s">
        <v>28</v>
      </c>
    </row>
    <row r="94" spans="1:9">
      <c r="A94" t="s">
        <v>212</v>
      </c>
      <c r="B94" t="s">
        <v>213</v>
      </c>
      <c r="C94" t="s">
        <v>28</v>
      </c>
      <c r="D94" t="str">
        <f>_xlfn.IFNA(INDEX('[1]Browne et al'!$A$1:$D$27, MATCH(B94,'[1]Browne et al'!A:A,0), 3), "")</f>
        <v/>
      </c>
      <c r="E94" t="s">
        <v>23</v>
      </c>
      <c r="F94" t="s">
        <v>20</v>
      </c>
      <c r="G94" t="s">
        <v>16</v>
      </c>
      <c r="H94" t="s">
        <v>187</v>
      </c>
      <c r="I94" t="s">
        <v>28</v>
      </c>
    </row>
    <row r="95" spans="1:9">
      <c r="A95" t="s">
        <v>214</v>
      </c>
      <c r="B95" t="s">
        <v>215</v>
      </c>
      <c r="C95" t="s">
        <v>28</v>
      </c>
      <c r="D95" t="str">
        <f>_xlfn.IFNA(INDEX('[1]Browne et al'!$A$1:$D$27, MATCH(B95,'[1]Browne et al'!A:A,0), 3), "")</f>
        <v/>
      </c>
      <c r="E95" t="s">
        <v>23</v>
      </c>
      <c r="F95" t="s">
        <v>96</v>
      </c>
      <c r="G95" t="s">
        <v>31</v>
      </c>
      <c r="H95" t="s">
        <v>187</v>
      </c>
      <c r="I95" t="s">
        <v>28</v>
      </c>
    </row>
    <row r="96" spans="1:9">
      <c r="A96" t="s">
        <v>216</v>
      </c>
      <c r="B96" t="s">
        <v>217</v>
      </c>
      <c r="C96" t="s">
        <v>28</v>
      </c>
      <c r="D96" t="str">
        <f>_xlfn.IFNA(INDEX('[1]Browne et al'!$A$1:$D$27, MATCH(B96,'[1]Browne et al'!A:A,0), 3), "")</f>
        <v/>
      </c>
      <c r="E96" t="s">
        <v>23</v>
      </c>
      <c r="F96" t="s">
        <v>52</v>
      </c>
      <c r="G96" t="s">
        <v>31</v>
      </c>
      <c r="H96" t="s">
        <v>187</v>
      </c>
      <c r="I96" t="s">
        <v>28</v>
      </c>
    </row>
    <row r="97" spans="1:9">
      <c r="A97" t="s">
        <v>218</v>
      </c>
      <c r="B97" t="s">
        <v>219</v>
      </c>
      <c r="C97" t="s">
        <v>28</v>
      </c>
      <c r="D97" t="str">
        <f>_xlfn.IFNA(INDEX('[1]Browne et al'!$A$1:$D$27, MATCH(B97,'[1]Browne et al'!A:A,0), 3), "")</f>
        <v/>
      </c>
      <c r="E97" t="s">
        <v>23</v>
      </c>
      <c r="F97" t="s">
        <v>20</v>
      </c>
      <c r="G97" t="s">
        <v>31</v>
      </c>
      <c r="H97" t="s">
        <v>187</v>
      </c>
      <c r="I97" t="s">
        <v>28</v>
      </c>
    </row>
    <row r="98" spans="1:9">
      <c r="A98" t="s">
        <v>220</v>
      </c>
      <c r="B98" t="s">
        <v>221</v>
      </c>
      <c r="C98" t="s">
        <v>28</v>
      </c>
      <c r="D98" t="str">
        <f>_xlfn.IFNA(INDEX('[1]Browne et al'!$A$1:$D$27, MATCH(B98,'[1]Browne et al'!A:A,0), 3), "")</f>
        <v/>
      </c>
      <c r="E98">
        <v>0.27600000000000002</v>
      </c>
      <c r="F98" t="s">
        <v>52</v>
      </c>
      <c r="G98" t="s">
        <v>31</v>
      </c>
      <c r="H98" t="s">
        <v>187</v>
      </c>
      <c r="I98" t="s">
        <v>28</v>
      </c>
    </row>
    <row r="99" spans="1:9">
      <c r="A99" t="s">
        <v>222</v>
      </c>
      <c r="B99" t="s">
        <v>223</v>
      </c>
      <c r="C99" t="s">
        <v>28</v>
      </c>
      <c r="D99" t="str">
        <f>_xlfn.IFNA(INDEX('[1]Browne et al'!$A$1:$D$27, MATCH(B99,'[1]Browne et al'!A:A,0), 3), "")</f>
        <v/>
      </c>
      <c r="E99" t="s">
        <v>23</v>
      </c>
      <c r="F99" t="s">
        <v>52</v>
      </c>
      <c r="G99" t="s">
        <v>31</v>
      </c>
      <c r="H99" t="s">
        <v>187</v>
      </c>
      <c r="I99" t="s">
        <v>28</v>
      </c>
    </row>
    <row r="100" spans="1:9">
      <c r="A100" t="s">
        <v>224</v>
      </c>
      <c r="B100" t="s">
        <v>225</v>
      </c>
      <c r="C100" t="s">
        <v>28</v>
      </c>
      <c r="D100" t="str">
        <f>_xlfn.IFNA(INDEX('[1]Browne et al'!$A$1:$D$27, MATCH(B100,'[1]Browne et al'!A:A,0), 3), "")</f>
        <v/>
      </c>
      <c r="E100" t="s">
        <v>23</v>
      </c>
      <c r="F100" t="s">
        <v>20</v>
      </c>
      <c r="G100" t="s">
        <v>20</v>
      </c>
      <c r="H100" t="s">
        <v>187</v>
      </c>
      <c r="I100" t="s">
        <v>28</v>
      </c>
    </row>
    <row r="101" spans="1:9">
      <c r="A101" t="s">
        <v>226</v>
      </c>
      <c r="B101" t="s">
        <v>227</v>
      </c>
      <c r="C101" t="s">
        <v>28</v>
      </c>
      <c r="D101" t="str">
        <f>_xlfn.IFNA(INDEX('[1]Browne et al'!$A$1:$D$27, MATCH(B101,'[1]Browne et al'!A:A,0), 3), "")</f>
        <v/>
      </c>
      <c r="E101">
        <v>0.37</v>
      </c>
      <c r="F101" t="s">
        <v>52</v>
      </c>
      <c r="G101" t="s">
        <v>20</v>
      </c>
      <c r="H101" t="s">
        <v>187</v>
      </c>
      <c r="I101" t="s">
        <v>28</v>
      </c>
    </row>
    <row r="102" spans="1:9">
      <c r="A102" t="s">
        <v>228</v>
      </c>
      <c r="B102" t="s">
        <v>229</v>
      </c>
      <c r="C102" t="s">
        <v>28</v>
      </c>
      <c r="D102" t="str">
        <f>_xlfn.IFNA(INDEX('[1]Browne et al'!$A$1:$D$27, MATCH(B102,'[1]Browne et al'!A:A,0), 3), "")</f>
        <v>weak</v>
      </c>
      <c r="E102">
        <v>0.17399999999999999</v>
      </c>
      <c r="F102" t="s">
        <v>67</v>
      </c>
      <c r="G102" t="s">
        <v>52</v>
      </c>
      <c r="H102" t="s">
        <v>187</v>
      </c>
      <c r="I102" t="s">
        <v>28</v>
      </c>
    </row>
    <row r="103" spans="1:9">
      <c r="A103" t="s">
        <v>230</v>
      </c>
      <c r="B103" t="s">
        <v>231</v>
      </c>
      <c r="C103" t="s">
        <v>28</v>
      </c>
      <c r="D103" t="str">
        <f>_xlfn.IFNA(INDEX('[1]Browne et al'!$A$1:$D$27, MATCH(B103,'[1]Browne et al'!A:A,0), 3), "")</f>
        <v/>
      </c>
      <c r="E103" t="s">
        <v>23</v>
      </c>
      <c r="F103" t="s">
        <v>52</v>
      </c>
      <c r="G103" t="s">
        <v>52</v>
      </c>
      <c r="H103" t="s">
        <v>187</v>
      </c>
      <c r="I103" t="s">
        <v>28</v>
      </c>
    </row>
    <row r="104" spans="1:9">
      <c r="A104" t="s">
        <v>232</v>
      </c>
      <c r="B104" t="s">
        <v>233</v>
      </c>
      <c r="C104" t="s">
        <v>28</v>
      </c>
      <c r="D104" t="str">
        <f>_xlfn.IFNA(INDEX('[1]Browne et al'!$A$1:$D$27, MATCH(B104,'[1]Browne et al'!A:A,0), 3), "")</f>
        <v/>
      </c>
      <c r="E104" t="s">
        <v>23</v>
      </c>
      <c r="F104" t="s">
        <v>20</v>
      </c>
      <c r="G104" t="s">
        <v>16</v>
      </c>
      <c r="H104" t="s">
        <v>187</v>
      </c>
      <c r="I104" t="s">
        <v>28</v>
      </c>
    </row>
    <row r="105" spans="1:9">
      <c r="A105" t="s">
        <v>234</v>
      </c>
      <c r="B105" t="s">
        <v>235</v>
      </c>
      <c r="C105" t="s">
        <v>28</v>
      </c>
      <c r="D105" t="str">
        <f>_xlfn.IFNA(INDEX('[1]Browne et al'!$A$1:$D$27, MATCH(B105,'[1]Browne et al'!A:A,0), 3), "")</f>
        <v/>
      </c>
      <c r="E105">
        <v>0.41</v>
      </c>
      <c r="F105" t="s">
        <v>52</v>
      </c>
      <c r="G105" t="s">
        <v>31</v>
      </c>
      <c r="H105" t="s">
        <v>187</v>
      </c>
      <c r="I105" t="s">
        <v>28</v>
      </c>
    </row>
    <row r="106" spans="1:9">
      <c r="A106" t="s">
        <v>236</v>
      </c>
      <c r="B106" t="s">
        <v>237</v>
      </c>
      <c r="C106" t="s">
        <v>28</v>
      </c>
      <c r="D106" t="str">
        <f>_xlfn.IFNA(INDEX('[1]Browne et al'!$A$1:$D$27, MATCH(B106,'[1]Browne et al'!A:A,0), 3), "")</f>
        <v/>
      </c>
      <c r="E106" t="s">
        <v>23</v>
      </c>
      <c r="F106" t="s">
        <v>52</v>
      </c>
      <c r="G106" t="s">
        <v>31</v>
      </c>
      <c r="H106" t="s">
        <v>187</v>
      </c>
      <c r="I106" t="s">
        <v>28</v>
      </c>
    </row>
    <row r="107" spans="1:9">
      <c r="A107" t="s">
        <v>238</v>
      </c>
      <c r="B107" t="s">
        <v>239</v>
      </c>
      <c r="C107" t="s">
        <v>28</v>
      </c>
      <c r="D107" t="str">
        <f>_xlfn.IFNA(INDEX('[1]Browne et al'!$A$1:$D$27, MATCH(B107,'[1]Browne et al'!A:A,0), 3), "")</f>
        <v/>
      </c>
      <c r="E107" t="s">
        <v>23</v>
      </c>
      <c r="F107" t="s">
        <v>16</v>
      </c>
      <c r="G107" t="s">
        <v>16</v>
      </c>
      <c r="H107" t="s">
        <v>187</v>
      </c>
      <c r="I107" t="s">
        <v>28</v>
      </c>
    </row>
    <row r="108" spans="1:9">
      <c r="A108" t="s">
        <v>240</v>
      </c>
      <c r="B108" t="s">
        <v>241</v>
      </c>
      <c r="C108" t="s">
        <v>28</v>
      </c>
      <c r="D108" t="str">
        <f>_xlfn.IFNA(INDEX('[1]Browne et al'!$A$1:$D$27, MATCH(B108,'[1]Browne et al'!A:A,0), 3), "")</f>
        <v/>
      </c>
      <c r="E108" t="s">
        <v>23</v>
      </c>
      <c r="F108" t="s">
        <v>31</v>
      </c>
      <c r="G108" t="s">
        <v>16</v>
      </c>
      <c r="H108" t="s">
        <v>187</v>
      </c>
      <c r="I108" t="s">
        <v>28</v>
      </c>
    </row>
    <row r="109" spans="1:9">
      <c r="A109" s="1" t="s">
        <v>242</v>
      </c>
      <c r="B109" s="1" t="s">
        <v>243</v>
      </c>
      <c r="C109" s="1"/>
      <c r="D109" s="1"/>
      <c r="E109" s="1" t="s">
        <v>23</v>
      </c>
      <c r="F109" s="1" t="s">
        <v>20</v>
      </c>
      <c r="G109" s="1" t="s">
        <v>16</v>
      </c>
      <c r="H109" s="1" t="s">
        <v>187</v>
      </c>
      <c r="I109" s="1" t="s">
        <v>28</v>
      </c>
    </row>
    <row r="110" spans="1:9">
      <c r="A110" s="1" t="s">
        <v>244</v>
      </c>
      <c r="B110" s="1" t="s">
        <v>245</v>
      </c>
      <c r="C110" s="1"/>
      <c r="D110" s="1"/>
      <c r="E110" s="1" t="s">
        <v>23</v>
      </c>
      <c r="F110" s="1" t="s">
        <v>52</v>
      </c>
      <c r="G110" s="1" t="s">
        <v>16</v>
      </c>
      <c r="H110" s="1" t="s">
        <v>56</v>
      </c>
      <c r="I110" s="1" t="s">
        <v>56</v>
      </c>
    </row>
    <row r="111" spans="1:9">
      <c r="A111" s="1" t="s">
        <v>246</v>
      </c>
      <c r="B111" s="1" t="s">
        <v>247</v>
      </c>
      <c r="C111" s="1"/>
      <c r="D111" s="1"/>
      <c r="E111" s="1" t="s">
        <v>23</v>
      </c>
      <c r="F111" s="1" t="s">
        <v>52</v>
      </c>
      <c r="G111" s="1" t="s">
        <v>31</v>
      </c>
      <c r="H111" s="1" t="s">
        <v>53</v>
      </c>
      <c r="I111" s="1" t="s">
        <v>50</v>
      </c>
    </row>
    <row r="112" spans="1:9">
      <c r="A112" s="1" t="s">
        <v>248</v>
      </c>
      <c r="B112" s="1" t="s">
        <v>249</v>
      </c>
      <c r="C112" s="1"/>
      <c r="D112" s="1"/>
      <c r="E112" s="1" t="s">
        <v>23</v>
      </c>
      <c r="F112" s="1" t="s">
        <v>52</v>
      </c>
      <c r="G112" s="1" t="s">
        <v>16</v>
      </c>
      <c r="H112" s="1" t="s">
        <v>56</v>
      </c>
      <c r="I112" s="1" t="s">
        <v>56</v>
      </c>
    </row>
    <row r="113" spans="1:9">
      <c r="A113" s="1" t="s">
        <v>250</v>
      </c>
      <c r="B113" s="1" t="s">
        <v>251</v>
      </c>
      <c r="C113" s="1"/>
      <c r="D113" s="1"/>
      <c r="E113" s="1" t="s">
        <v>23</v>
      </c>
      <c r="F113" s="1" t="s">
        <v>52</v>
      </c>
      <c r="G113" s="1" t="s">
        <v>16</v>
      </c>
      <c r="H113" s="1" t="s">
        <v>187</v>
      </c>
      <c r="I113" s="1" t="s">
        <v>28</v>
      </c>
    </row>
    <row r="114" spans="1:9">
      <c r="A114" s="1" t="s">
        <v>252</v>
      </c>
      <c r="B114" s="1" t="s">
        <v>253</v>
      </c>
      <c r="C114" s="1"/>
      <c r="D114" s="1"/>
      <c r="E114" s="1" t="s">
        <v>23</v>
      </c>
      <c r="F114" s="1" t="s">
        <v>20</v>
      </c>
      <c r="G114" s="1" t="s">
        <v>52</v>
      </c>
      <c r="H114" s="1" t="s">
        <v>53</v>
      </c>
      <c r="I114" s="1" t="s">
        <v>50</v>
      </c>
    </row>
    <row r="115" spans="1:9">
      <c r="A115" s="1" t="s">
        <v>254</v>
      </c>
      <c r="B115" s="1" t="s">
        <v>255</v>
      </c>
      <c r="C115" s="1"/>
      <c r="D115" s="1"/>
      <c r="E115" s="1" t="s">
        <v>23</v>
      </c>
      <c r="F115" s="1" t="s">
        <v>52</v>
      </c>
      <c r="G115" s="1" t="s">
        <v>31</v>
      </c>
      <c r="H115" s="1" t="s">
        <v>56</v>
      </c>
      <c r="I115" s="1" t="s">
        <v>56</v>
      </c>
    </row>
    <row r="116" spans="1:9" ht="26.45">
      <c r="A116" s="1" t="s">
        <v>256</v>
      </c>
      <c r="B116" s="5" t="s">
        <v>257</v>
      </c>
      <c r="C116" s="1"/>
      <c r="D116" s="1"/>
      <c r="E116" s="1" t="s">
        <v>23</v>
      </c>
      <c r="F116" s="1"/>
      <c r="G116" s="1"/>
      <c r="H116" s="1" t="s">
        <v>187</v>
      </c>
      <c r="I116" s="1" t="s">
        <v>28</v>
      </c>
    </row>
    <row r="117" spans="1:9">
      <c r="A117" s="1" t="s">
        <v>258</v>
      </c>
      <c r="B117" s="1" t="s">
        <v>259</v>
      </c>
      <c r="C117" s="1"/>
      <c r="D117" s="1"/>
      <c r="E117" s="1" t="s">
        <v>23</v>
      </c>
      <c r="F117" s="1" t="s">
        <v>20</v>
      </c>
      <c r="G117" s="1" t="s">
        <v>31</v>
      </c>
      <c r="H117" s="1" t="s">
        <v>53</v>
      </c>
      <c r="I117" s="1" t="s">
        <v>50</v>
      </c>
    </row>
    <row r="118" spans="1:9">
      <c r="A118" s="1" t="s">
        <v>260</v>
      </c>
      <c r="B118" s="1" t="s">
        <v>261</v>
      </c>
      <c r="C118" s="1"/>
      <c r="D118" s="1"/>
      <c r="E118" s="1" t="s">
        <v>23</v>
      </c>
      <c r="F118" s="1" t="s">
        <v>20</v>
      </c>
      <c r="G118" s="1" t="s">
        <v>16</v>
      </c>
      <c r="H118" s="1" t="s">
        <v>17</v>
      </c>
      <c r="I118" s="1" t="s">
        <v>15</v>
      </c>
    </row>
    <row r="119" spans="1:9">
      <c r="A119" s="1" t="s">
        <v>262</v>
      </c>
      <c r="B119" s="1" t="s">
        <v>263</v>
      </c>
      <c r="C119" s="1"/>
      <c r="D119" s="1"/>
      <c r="E119" s="1" t="s">
        <v>23</v>
      </c>
      <c r="F119" s="1" t="s">
        <v>52</v>
      </c>
      <c r="G119" s="1" t="s">
        <v>16</v>
      </c>
      <c r="H119" s="1" t="s">
        <v>187</v>
      </c>
      <c r="I119" s="1" t="s">
        <v>28</v>
      </c>
    </row>
    <row r="120" spans="1:9">
      <c r="A120" s="1" t="s">
        <v>264</v>
      </c>
      <c r="B120" s="1" t="s">
        <v>265</v>
      </c>
      <c r="C120" s="1"/>
      <c r="D120" s="1"/>
      <c r="E120" s="1" t="s">
        <v>23</v>
      </c>
      <c r="F120" s="1" t="s">
        <v>20</v>
      </c>
      <c r="G120" s="1" t="s">
        <v>31</v>
      </c>
      <c r="H120" s="1" t="s">
        <v>56</v>
      </c>
      <c r="I120" s="1" t="s">
        <v>56</v>
      </c>
    </row>
    <row r="121" spans="1:9">
      <c r="A121" s="1" t="s">
        <v>266</v>
      </c>
      <c r="B121" s="1" t="s">
        <v>267</v>
      </c>
      <c r="C121" s="1"/>
      <c r="D121" s="1"/>
      <c r="E121" s="1" t="s">
        <v>23</v>
      </c>
      <c r="F121" s="1" t="s">
        <v>52</v>
      </c>
      <c r="G121" s="1" t="s">
        <v>31</v>
      </c>
      <c r="H121" s="1" t="s">
        <v>187</v>
      </c>
      <c r="I121" s="1" t="s">
        <v>28</v>
      </c>
    </row>
    <row r="122" spans="1:9">
      <c r="A122" s="1" t="s">
        <v>268</v>
      </c>
      <c r="B122" s="1" t="s">
        <v>269</v>
      </c>
      <c r="C122" s="1"/>
      <c r="D122" s="1"/>
      <c r="E122" s="1" t="s">
        <v>23</v>
      </c>
      <c r="F122" s="1" t="s">
        <v>20</v>
      </c>
      <c r="G122" s="1" t="s">
        <v>31</v>
      </c>
      <c r="H122" s="1" t="s">
        <v>53</v>
      </c>
      <c r="I122" s="1" t="s">
        <v>50</v>
      </c>
    </row>
    <row r="123" spans="1:9">
      <c r="A123" s="1" t="s">
        <v>270</v>
      </c>
      <c r="B123" s="1" t="s">
        <v>271</v>
      </c>
      <c r="C123" s="1"/>
      <c r="D123" s="1"/>
      <c r="E123" s="1" t="s">
        <v>23</v>
      </c>
      <c r="F123" s="1"/>
      <c r="G123" s="1"/>
      <c r="H123" s="1" t="s">
        <v>17</v>
      </c>
      <c r="I123" s="1" t="s">
        <v>15</v>
      </c>
    </row>
    <row r="124" spans="1:9">
      <c r="A124" s="1" t="s">
        <v>272</v>
      </c>
      <c r="B124" s="1" t="s">
        <v>273</v>
      </c>
      <c r="C124" s="1"/>
      <c r="D124" s="1"/>
      <c r="E124" s="1" t="s">
        <v>23</v>
      </c>
      <c r="F124" s="1" t="s">
        <v>20</v>
      </c>
      <c r="G124" s="1" t="s">
        <v>16</v>
      </c>
      <c r="H124" s="1" t="s">
        <v>56</v>
      </c>
      <c r="I124" s="1" t="s">
        <v>56</v>
      </c>
    </row>
    <row r="125" spans="1:9">
      <c r="A125" s="1" t="s">
        <v>274</v>
      </c>
      <c r="B125" s="1" t="s">
        <v>275</v>
      </c>
      <c r="C125" s="1"/>
      <c r="D125" s="1"/>
      <c r="E125" s="1" t="s">
        <v>23</v>
      </c>
      <c r="F125" s="1" t="s">
        <v>31</v>
      </c>
      <c r="G125" s="1" t="s">
        <v>31</v>
      </c>
      <c r="H125" s="1" t="s">
        <v>53</v>
      </c>
      <c r="I125" s="1" t="s">
        <v>50</v>
      </c>
    </row>
    <row r="126" spans="1:9">
      <c r="A126" s="1" t="s">
        <v>276</v>
      </c>
      <c r="B126" s="1" t="s">
        <v>277</v>
      </c>
      <c r="C126" s="1"/>
      <c r="D126" s="1"/>
      <c r="E126" s="1" t="s">
        <v>23</v>
      </c>
      <c r="F126" s="1" t="s">
        <v>20</v>
      </c>
      <c r="G126" s="1" t="s">
        <v>16</v>
      </c>
      <c r="H126" s="1" t="s">
        <v>187</v>
      </c>
      <c r="I126" s="1" t="s">
        <v>28</v>
      </c>
    </row>
    <row r="127" spans="1:9">
      <c r="A127" s="1" t="s">
        <v>278</v>
      </c>
      <c r="B127" s="1" t="s">
        <v>279</v>
      </c>
      <c r="C127" s="1"/>
      <c r="D127" s="1"/>
      <c r="E127" s="1" t="s">
        <v>23</v>
      </c>
      <c r="F127" s="1" t="s">
        <v>20</v>
      </c>
      <c r="G127" s="1" t="s">
        <v>16</v>
      </c>
      <c r="H127" s="1" t="s">
        <v>187</v>
      </c>
      <c r="I127" s="1" t="s">
        <v>28</v>
      </c>
    </row>
    <row r="128" spans="1:9">
      <c r="A128" s="1" t="s">
        <v>280</v>
      </c>
      <c r="B128" s="1" t="s">
        <v>281</v>
      </c>
      <c r="C128" s="1"/>
      <c r="D128" s="1"/>
      <c r="E128" s="1" t="s">
        <v>23</v>
      </c>
      <c r="F128" s="1" t="s">
        <v>20</v>
      </c>
      <c r="G128" s="1" t="s">
        <v>16</v>
      </c>
      <c r="H128" s="1" t="s">
        <v>53</v>
      </c>
      <c r="I128" s="1" t="s">
        <v>50</v>
      </c>
    </row>
    <row r="129" spans="1:9">
      <c r="A129" s="1" t="s">
        <v>282</v>
      </c>
      <c r="B129" s="1" t="s">
        <v>283</v>
      </c>
      <c r="C129" s="1"/>
      <c r="D129" s="1"/>
      <c r="E129" s="1" t="s">
        <v>23</v>
      </c>
      <c r="F129" s="1"/>
      <c r="G129" s="1"/>
      <c r="H129" s="1" t="s">
        <v>56</v>
      </c>
      <c r="I129" s="1" t="s">
        <v>56</v>
      </c>
    </row>
    <row r="130" spans="1:9">
      <c r="A130" s="1" t="s">
        <v>284</v>
      </c>
      <c r="B130" s="1" t="s">
        <v>285</v>
      </c>
      <c r="C130" s="1"/>
      <c r="D130" s="1"/>
      <c r="E130" s="1" t="s">
        <v>23</v>
      </c>
      <c r="F130" s="1" t="s">
        <v>52</v>
      </c>
      <c r="G130" s="1" t="s">
        <v>31</v>
      </c>
      <c r="H130" s="1" t="s">
        <v>53</v>
      </c>
      <c r="I130" s="1" t="s">
        <v>50</v>
      </c>
    </row>
    <row r="131" spans="1:9">
      <c r="A131" s="1" t="s">
        <v>286</v>
      </c>
      <c r="B131" s="1" t="s">
        <v>287</v>
      </c>
      <c r="C131" s="1"/>
      <c r="D131" s="1"/>
      <c r="E131" s="1" t="s">
        <v>23</v>
      </c>
      <c r="F131" s="1" t="s">
        <v>52</v>
      </c>
      <c r="G131" s="1" t="s">
        <v>16</v>
      </c>
      <c r="H131" s="1" t="s">
        <v>53</v>
      </c>
      <c r="I131" s="1" t="s">
        <v>50</v>
      </c>
    </row>
    <row r="132" spans="1:9">
      <c r="A132" s="1" t="s">
        <v>288</v>
      </c>
      <c r="B132" s="1" t="s">
        <v>289</v>
      </c>
      <c r="C132" s="1"/>
      <c r="D132" s="1"/>
      <c r="E132" s="1">
        <v>0.252</v>
      </c>
      <c r="F132" s="1" t="s">
        <v>20</v>
      </c>
      <c r="G132" s="1" t="s">
        <v>16</v>
      </c>
      <c r="H132" s="1" t="s">
        <v>187</v>
      </c>
      <c r="I132" s="1" t="s">
        <v>28</v>
      </c>
    </row>
    <row r="133" spans="1:9">
      <c r="A133" s="1" t="s">
        <v>290</v>
      </c>
      <c r="B133" s="1" t="s">
        <v>291</v>
      </c>
      <c r="C133" s="1"/>
      <c r="D133" s="1"/>
      <c r="E133" s="1" t="s">
        <v>23</v>
      </c>
      <c r="F133" s="1" t="s">
        <v>20</v>
      </c>
      <c r="G133" s="1" t="s">
        <v>16</v>
      </c>
      <c r="H133" s="1" t="s">
        <v>53</v>
      </c>
      <c r="I133" s="1" t="s">
        <v>50</v>
      </c>
    </row>
    <row r="134" spans="1:9">
      <c r="A134" s="1" t="s">
        <v>292</v>
      </c>
      <c r="B134" s="1" t="s">
        <v>293</v>
      </c>
      <c r="C134" s="1"/>
      <c r="D134" s="1"/>
      <c r="E134" s="1" t="s">
        <v>23</v>
      </c>
      <c r="F134" s="1" t="s">
        <v>67</v>
      </c>
      <c r="G134" s="1" t="s">
        <v>67</v>
      </c>
      <c r="H134" s="1" t="s">
        <v>56</v>
      </c>
      <c r="I134" s="1" t="s">
        <v>56</v>
      </c>
    </row>
    <row r="135" spans="1:9">
      <c r="A135" s="1" t="s">
        <v>294</v>
      </c>
      <c r="B135" s="1" t="s">
        <v>295</v>
      </c>
      <c r="C135" s="1"/>
      <c r="D135" s="1"/>
      <c r="E135" s="1" t="s">
        <v>23</v>
      </c>
      <c r="F135" s="1" t="s">
        <v>52</v>
      </c>
      <c r="G135" s="1" t="s">
        <v>31</v>
      </c>
      <c r="H135" s="1" t="s">
        <v>187</v>
      </c>
      <c r="I135" s="1" t="s">
        <v>28</v>
      </c>
    </row>
    <row r="136" spans="1:9">
      <c r="A136" s="1" t="s">
        <v>296</v>
      </c>
      <c r="B136" s="1" t="s">
        <v>297</v>
      </c>
      <c r="C136" s="1"/>
      <c r="D136" s="1"/>
      <c r="E136" s="1" t="s">
        <v>23</v>
      </c>
      <c r="F136" s="1" t="s">
        <v>52</v>
      </c>
      <c r="G136" s="1" t="s">
        <v>31</v>
      </c>
      <c r="H136" s="1" t="s">
        <v>53</v>
      </c>
      <c r="I136" s="1" t="s">
        <v>50</v>
      </c>
    </row>
    <row r="137" spans="1:9">
      <c r="A137" s="1" t="s">
        <v>298</v>
      </c>
      <c r="B137" s="1" t="s">
        <v>299</v>
      </c>
      <c r="C137" s="1"/>
      <c r="D137" s="1"/>
      <c r="E137" s="1" t="s">
        <v>23</v>
      </c>
      <c r="F137" s="1" t="s">
        <v>20</v>
      </c>
      <c r="G137" s="1" t="s">
        <v>31</v>
      </c>
      <c r="H137" s="1" t="s">
        <v>53</v>
      </c>
      <c r="I137" s="1" t="s">
        <v>50</v>
      </c>
    </row>
    <row r="138" spans="1:9">
      <c r="A138" s="1" t="s">
        <v>300</v>
      </c>
      <c r="B138" s="1" t="s">
        <v>301</v>
      </c>
      <c r="C138" s="1"/>
      <c r="D138" s="1"/>
      <c r="E138" s="1" t="s">
        <v>23</v>
      </c>
      <c r="F138" s="1" t="s">
        <v>52</v>
      </c>
      <c r="G138" s="1" t="s">
        <v>31</v>
      </c>
      <c r="H138" s="1" t="s">
        <v>53</v>
      </c>
      <c r="I138" s="1" t="s">
        <v>50</v>
      </c>
    </row>
    <row r="139" spans="1:9">
      <c r="A139" s="1" t="s">
        <v>302</v>
      </c>
      <c r="B139" s="1" t="s">
        <v>303</v>
      </c>
      <c r="C139" s="1"/>
      <c r="D139" s="1"/>
      <c r="E139" s="1" t="s">
        <v>23</v>
      </c>
      <c r="F139" s="1" t="s">
        <v>20</v>
      </c>
      <c r="G139" s="1" t="s">
        <v>31</v>
      </c>
      <c r="H139" s="1" t="s">
        <v>53</v>
      </c>
      <c r="I139" s="1" t="s">
        <v>50</v>
      </c>
    </row>
    <row r="140" spans="1:9">
      <c r="A140" s="1" t="s">
        <v>304</v>
      </c>
      <c r="B140" s="1" t="s">
        <v>305</v>
      </c>
      <c r="C140" s="1"/>
      <c r="D140" s="1"/>
      <c r="E140" s="1">
        <v>0.307</v>
      </c>
      <c r="F140" s="1" t="s">
        <v>20</v>
      </c>
      <c r="G140" s="1" t="s">
        <v>16</v>
      </c>
      <c r="H140" s="1" t="s">
        <v>187</v>
      </c>
      <c r="I140" s="1" t="s">
        <v>28</v>
      </c>
    </row>
    <row r="141" spans="1:9">
      <c r="A141" s="1" t="s">
        <v>306</v>
      </c>
      <c r="B141" s="1" t="s">
        <v>307</v>
      </c>
      <c r="C141" s="1"/>
      <c r="D141" s="1"/>
      <c r="E141" s="1" t="s">
        <v>23</v>
      </c>
      <c r="F141" s="1" t="s">
        <v>52</v>
      </c>
      <c r="G141" s="1" t="s">
        <v>16</v>
      </c>
      <c r="H141" s="1" t="s">
        <v>56</v>
      </c>
      <c r="I141" s="1" t="s">
        <v>56</v>
      </c>
    </row>
    <row r="142" spans="1:9">
      <c r="A142" s="1" t="s">
        <v>308</v>
      </c>
      <c r="B142" s="1" t="s">
        <v>309</v>
      </c>
      <c r="C142" s="1"/>
      <c r="D142" s="1"/>
      <c r="E142" s="1" t="s">
        <v>23</v>
      </c>
      <c r="F142" s="1" t="s">
        <v>20</v>
      </c>
      <c r="G142" s="1" t="s">
        <v>20</v>
      </c>
      <c r="H142" s="1" t="s">
        <v>56</v>
      </c>
      <c r="I142" s="1" t="s">
        <v>56</v>
      </c>
    </row>
    <row r="143" spans="1:9">
      <c r="A143" s="1" t="s">
        <v>310</v>
      </c>
      <c r="B143" s="1" t="s">
        <v>311</v>
      </c>
      <c r="C143" s="1"/>
      <c r="D143" s="1"/>
      <c r="E143" s="1" t="s">
        <v>23</v>
      </c>
      <c r="F143" s="1" t="s">
        <v>52</v>
      </c>
      <c r="G143" s="1" t="s">
        <v>31</v>
      </c>
      <c r="H143" s="1" t="s">
        <v>56</v>
      </c>
      <c r="I143" s="1" t="s">
        <v>56</v>
      </c>
    </row>
    <row r="144" spans="1:9">
      <c r="A144" s="1" t="s">
        <v>312</v>
      </c>
      <c r="B144" s="1" t="s">
        <v>313</v>
      </c>
      <c r="C144" s="1"/>
      <c r="D144" s="1"/>
      <c r="E144" s="1">
        <v>0.44</v>
      </c>
      <c r="F144" s="1" t="s">
        <v>20</v>
      </c>
      <c r="G144" s="1" t="s">
        <v>16</v>
      </c>
      <c r="H144" s="1" t="s">
        <v>187</v>
      </c>
      <c r="I144" s="1" t="s">
        <v>28</v>
      </c>
    </row>
    <row r="145" spans="1:9">
      <c r="A145" s="1" t="s">
        <v>314</v>
      </c>
      <c r="B145" s="1" t="s">
        <v>315</v>
      </c>
      <c r="C145" s="1"/>
      <c r="D145" s="1"/>
      <c r="E145" s="1" t="s">
        <v>23</v>
      </c>
      <c r="F145" s="1" t="s">
        <v>20</v>
      </c>
      <c r="G145" s="1" t="s">
        <v>31</v>
      </c>
      <c r="H145" s="1" t="s">
        <v>187</v>
      </c>
      <c r="I145" s="1" t="s">
        <v>28</v>
      </c>
    </row>
    <row r="146" spans="1:9">
      <c r="A146" s="1" t="s">
        <v>316</v>
      </c>
      <c r="B146" s="1" t="s">
        <v>317</v>
      </c>
      <c r="C146" s="1"/>
      <c r="D146" s="1"/>
      <c r="E146" s="1" t="s">
        <v>23</v>
      </c>
      <c r="F146" s="1" t="s">
        <v>52</v>
      </c>
      <c r="G146" s="1" t="s">
        <v>20</v>
      </c>
      <c r="H146" s="1" t="s">
        <v>56</v>
      </c>
      <c r="I146" s="1" t="s">
        <v>56</v>
      </c>
    </row>
    <row r="147" spans="1:9">
      <c r="A147" s="1" t="s">
        <v>318</v>
      </c>
      <c r="B147" s="1" t="s">
        <v>319</v>
      </c>
      <c r="C147" s="1"/>
      <c r="D147" s="1"/>
      <c r="E147" s="1" t="s">
        <v>23</v>
      </c>
      <c r="F147" s="1" t="s">
        <v>52</v>
      </c>
      <c r="G147" s="1" t="s">
        <v>16</v>
      </c>
      <c r="H147" s="1" t="s">
        <v>56</v>
      </c>
      <c r="I147" s="1" t="s">
        <v>56</v>
      </c>
    </row>
    <row r="148" spans="1:9">
      <c r="A148" s="1" t="s">
        <v>320</v>
      </c>
      <c r="B148" s="1" t="s">
        <v>321</v>
      </c>
      <c r="C148" s="1"/>
      <c r="D148" s="1"/>
      <c r="E148" s="1">
        <v>0.53800000000000003</v>
      </c>
      <c r="F148" s="1" t="s">
        <v>20</v>
      </c>
      <c r="G148" s="1" t="s">
        <v>16</v>
      </c>
      <c r="H148" s="1" t="s">
        <v>187</v>
      </c>
      <c r="I148" s="1" t="s">
        <v>28</v>
      </c>
    </row>
    <row r="149" spans="1:9">
      <c r="A149" s="1" t="s">
        <v>322</v>
      </c>
      <c r="B149" s="1" t="s">
        <v>323</v>
      </c>
      <c r="C149" s="1"/>
      <c r="D149" s="1"/>
      <c r="E149" s="1" t="s">
        <v>23</v>
      </c>
      <c r="F149" s="1" t="s">
        <v>52</v>
      </c>
      <c r="G149" s="1" t="s">
        <v>31</v>
      </c>
      <c r="H149" s="1" t="s">
        <v>53</v>
      </c>
      <c r="I149" s="1" t="s">
        <v>50</v>
      </c>
    </row>
    <row r="150" spans="1:9">
      <c r="A150" s="1" t="s">
        <v>324</v>
      </c>
      <c r="B150" s="1" t="s">
        <v>325</v>
      </c>
      <c r="C150" s="1"/>
      <c r="D150" s="1"/>
      <c r="E150" s="1" t="s">
        <v>23</v>
      </c>
      <c r="F150" s="1"/>
      <c r="G150" s="1"/>
      <c r="H150" s="1" t="s">
        <v>53</v>
      </c>
      <c r="I150" s="1" t="s">
        <v>50</v>
      </c>
    </row>
    <row r="151" spans="1:9">
      <c r="A151" s="1" t="s">
        <v>326</v>
      </c>
      <c r="B151" s="1" t="s">
        <v>327</v>
      </c>
      <c r="C151" s="1"/>
      <c r="D151" s="1"/>
      <c r="E151" s="1">
        <v>0.35599999999999998</v>
      </c>
      <c r="F151" s="1" t="s">
        <v>20</v>
      </c>
      <c r="G151" s="1" t="s">
        <v>16</v>
      </c>
      <c r="H151" s="1" t="s">
        <v>53</v>
      </c>
      <c r="I151" s="1" t="s">
        <v>50</v>
      </c>
    </row>
    <row r="152" spans="1:9">
      <c r="A152" s="1" t="s">
        <v>328</v>
      </c>
      <c r="B152" s="1" t="s">
        <v>329</v>
      </c>
      <c r="C152" s="1"/>
      <c r="D152" s="1"/>
      <c r="E152" s="1" t="s">
        <v>23</v>
      </c>
      <c r="F152" s="1" t="s">
        <v>20</v>
      </c>
      <c r="G152" s="1" t="s">
        <v>16</v>
      </c>
      <c r="H152" s="1" t="s">
        <v>53</v>
      </c>
      <c r="I152" s="1" t="s">
        <v>50</v>
      </c>
    </row>
    <row r="153" spans="1:9">
      <c r="A153" s="1" t="s">
        <v>330</v>
      </c>
      <c r="B153" s="1" t="s">
        <v>331</v>
      </c>
      <c r="C153" s="1"/>
      <c r="D153" s="1"/>
      <c r="E153" s="1" t="s">
        <v>23</v>
      </c>
      <c r="F153" s="1" t="s">
        <v>20</v>
      </c>
      <c r="G153" s="1" t="s">
        <v>16</v>
      </c>
      <c r="H153" s="1" t="s">
        <v>53</v>
      </c>
      <c r="I153" s="1" t="s">
        <v>50</v>
      </c>
    </row>
    <row r="154" spans="1:9">
      <c r="A154" s="1" t="s">
        <v>332</v>
      </c>
      <c r="B154" s="1" t="s">
        <v>333</v>
      </c>
      <c r="C154" s="1"/>
      <c r="D154" s="1"/>
      <c r="E154" s="1" t="s">
        <v>23</v>
      </c>
      <c r="F154" s="1" t="s">
        <v>20</v>
      </c>
      <c r="G154" s="1" t="s">
        <v>31</v>
      </c>
      <c r="H154" s="1" t="s">
        <v>17</v>
      </c>
      <c r="I154" s="1" t="s">
        <v>15</v>
      </c>
    </row>
    <row r="155" spans="1:9">
      <c r="A155" s="6" t="s">
        <v>334</v>
      </c>
      <c r="B155" s="6" t="s">
        <v>335</v>
      </c>
      <c r="C155" s="6"/>
      <c r="D155" s="6" t="s">
        <v>23</v>
      </c>
      <c r="E155" s="6">
        <v>0.71</v>
      </c>
      <c r="F155" s="6" t="s">
        <v>20</v>
      </c>
      <c r="G155" s="6" t="s">
        <v>31</v>
      </c>
      <c r="H155" s="6"/>
      <c r="I155" s="6"/>
    </row>
    <row r="156" spans="1:9">
      <c r="A156" s="6" t="s">
        <v>336</v>
      </c>
      <c r="B156" s="6" t="s">
        <v>337</v>
      </c>
      <c r="C156" s="6"/>
      <c r="D156" s="6" t="s">
        <v>23</v>
      </c>
      <c r="E156" s="6">
        <v>0.55200000000000005</v>
      </c>
      <c r="F156" s="6" t="s">
        <v>20</v>
      </c>
      <c r="G156" s="6" t="s">
        <v>16</v>
      </c>
      <c r="H156" s="6"/>
      <c r="I156" s="6"/>
    </row>
    <row r="157" spans="1:9">
      <c r="A157" s="6" t="s">
        <v>338</v>
      </c>
      <c r="B157" s="6" t="s">
        <v>339</v>
      </c>
      <c r="C157" s="6"/>
      <c r="D157" s="6" t="s">
        <v>23</v>
      </c>
      <c r="E157" s="6">
        <v>0.52400000000000002</v>
      </c>
      <c r="F157" s="6" t="s">
        <v>20</v>
      </c>
      <c r="G157" s="6" t="s">
        <v>16</v>
      </c>
      <c r="H157" s="6"/>
      <c r="I157" s="6"/>
    </row>
    <row r="158" spans="1:9">
      <c r="A158" s="6" t="s">
        <v>340</v>
      </c>
      <c r="B158" s="6" t="s">
        <v>341</v>
      </c>
      <c r="C158" s="6"/>
      <c r="D158" s="6" t="s">
        <v>51</v>
      </c>
      <c r="E158" s="6">
        <v>0.495</v>
      </c>
      <c r="F158" s="6" t="s">
        <v>52</v>
      </c>
      <c r="G158" s="6" t="s">
        <v>20</v>
      </c>
      <c r="H158" s="6"/>
      <c r="I158" s="6"/>
    </row>
    <row r="159" spans="1:9">
      <c r="A159" s="6" t="s">
        <v>342</v>
      </c>
      <c r="B159" s="6" t="s">
        <v>343</v>
      </c>
      <c r="C159" s="6"/>
      <c r="D159" s="6"/>
      <c r="E159" s="6">
        <v>0.47499999999999998</v>
      </c>
      <c r="F159" s="6" t="s">
        <v>52</v>
      </c>
      <c r="G159" s="6" t="s">
        <v>16</v>
      </c>
      <c r="H159" s="6"/>
      <c r="I159" s="6"/>
    </row>
    <row r="160" spans="1:9">
      <c r="A160" s="6" t="s">
        <v>344</v>
      </c>
      <c r="B160" s="6" t="s">
        <v>345</v>
      </c>
      <c r="C160" s="6"/>
      <c r="D160" s="6"/>
      <c r="E160" s="6">
        <v>0.435</v>
      </c>
      <c r="F160" s="6" t="s">
        <v>20</v>
      </c>
      <c r="G160" s="6" t="s">
        <v>16</v>
      </c>
      <c r="H160" s="6"/>
      <c r="I160" s="6"/>
    </row>
    <row r="161" spans="1:9">
      <c r="A161" s="6" t="s">
        <v>346</v>
      </c>
      <c r="B161" s="6" t="s">
        <v>347</v>
      </c>
      <c r="C161" s="6"/>
      <c r="D161" s="6"/>
      <c r="E161" s="6">
        <v>0.41799999999999998</v>
      </c>
      <c r="F161" s="6" t="s">
        <v>52</v>
      </c>
      <c r="G161" s="6" t="s">
        <v>31</v>
      </c>
      <c r="H161" s="6"/>
      <c r="I161" s="6"/>
    </row>
    <row r="162" spans="1:9">
      <c r="A162" s="6" t="s">
        <v>348</v>
      </c>
      <c r="B162" s="6" t="s">
        <v>349</v>
      </c>
      <c r="C162" s="6"/>
      <c r="D162" s="6"/>
      <c r="E162" s="6">
        <v>0.39700000000000002</v>
      </c>
      <c r="F162" s="6" t="s">
        <v>20</v>
      </c>
      <c r="G162" s="6" t="s">
        <v>16</v>
      </c>
      <c r="H162" s="6"/>
      <c r="I162" s="6"/>
    </row>
    <row r="163" spans="1:9">
      <c r="A163" s="6" t="s">
        <v>350</v>
      </c>
      <c r="B163" s="6" t="s">
        <v>351</v>
      </c>
      <c r="C163" s="6"/>
      <c r="D163" s="6"/>
      <c r="E163" s="6">
        <v>0.39400000000000002</v>
      </c>
      <c r="F163" s="6" t="s">
        <v>20</v>
      </c>
      <c r="G163" s="6" t="s">
        <v>16</v>
      </c>
      <c r="H163" s="6"/>
      <c r="I163" s="6"/>
    </row>
    <row r="164" spans="1:9">
      <c r="A164" s="6" t="s">
        <v>352</v>
      </c>
      <c r="B164" s="6" t="s">
        <v>353</v>
      </c>
      <c r="C164" s="6"/>
      <c r="D164" s="6"/>
      <c r="E164" s="6">
        <v>0.36499999999999999</v>
      </c>
      <c r="F164" s="6" t="s">
        <v>20</v>
      </c>
      <c r="G164" s="6" t="s">
        <v>16</v>
      </c>
      <c r="H164" s="6"/>
      <c r="I164" s="6"/>
    </row>
    <row r="165" spans="1:9">
      <c r="A165" s="6" t="s">
        <v>354</v>
      </c>
      <c r="B165" s="6" t="s">
        <v>355</v>
      </c>
      <c r="C165" s="6"/>
      <c r="D165" s="6"/>
      <c r="E165" s="6">
        <v>0.34300000000000003</v>
      </c>
      <c r="F165" s="6" t="s">
        <v>52</v>
      </c>
      <c r="G165" s="6" t="s">
        <v>31</v>
      </c>
      <c r="H165" s="6"/>
      <c r="I165" s="6"/>
    </row>
    <row r="166" spans="1:9">
      <c r="A166" s="6" t="s">
        <v>356</v>
      </c>
      <c r="B166" s="6" t="s">
        <v>357</v>
      </c>
      <c r="C166" s="6"/>
      <c r="D166" s="6"/>
      <c r="E166" s="6">
        <v>0.31900000000000001</v>
      </c>
      <c r="F166" s="6" t="s">
        <v>20</v>
      </c>
      <c r="G166" s="6" t="s">
        <v>16</v>
      </c>
      <c r="H166" s="6"/>
      <c r="I166" s="6"/>
    </row>
    <row r="167" spans="1:9">
      <c r="A167" s="6" t="s">
        <v>358</v>
      </c>
      <c r="B167" s="6" t="s">
        <v>359</v>
      </c>
      <c r="C167" s="6"/>
      <c r="D167" s="6"/>
      <c r="E167" s="6">
        <v>0.27500000000000002</v>
      </c>
      <c r="F167" s="6" t="s">
        <v>52</v>
      </c>
      <c r="G167" s="6" t="s">
        <v>20</v>
      </c>
      <c r="H167" s="6"/>
      <c r="I167" s="6"/>
    </row>
    <row r="168" spans="1:9">
      <c r="A168" s="6" t="s">
        <v>360</v>
      </c>
      <c r="B168" s="6" t="s">
        <v>361</v>
      </c>
      <c r="C168" s="6"/>
      <c r="D168" s="6"/>
      <c r="E168" s="6">
        <v>0.26800000000000002</v>
      </c>
      <c r="F168" s="6" t="s">
        <v>20</v>
      </c>
      <c r="G168" s="6" t="s">
        <v>31</v>
      </c>
      <c r="H168" s="6"/>
      <c r="I168" s="6"/>
    </row>
    <row r="169" spans="1:9">
      <c r="A169" s="6" t="s">
        <v>362</v>
      </c>
      <c r="B169" s="6" t="s">
        <v>363</v>
      </c>
      <c r="C169" s="6"/>
      <c r="D169" s="6"/>
      <c r="E169" s="6">
        <v>0.25</v>
      </c>
      <c r="F169" s="6" t="s">
        <v>52</v>
      </c>
      <c r="G169" s="6" t="s">
        <v>31</v>
      </c>
      <c r="H169" s="6"/>
      <c r="I169" s="6"/>
    </row>
    <row r="170" spans="1:9">
      <c r="A170" s="6" t="s">
        <v>364</v>
      </c>
      <c r="B170" s="6" t="s">
        <v>365</v>
      </c>
      <c r="C170" s="6"/>
      <c r="D170" s="6"/>
      <c r="E170" s="6">
        <v>0.248</v>
      </c>
      <c r="F170" s="6" t="s">
        <v>67</v>
      </c>
      <c r="G170" s="6" t="s">
        <v>52</v>
      </c>
      <c r="H170" s="6"/>
      <c r="I170" s="6"/>
    </row>
    <row r="171" spans="1:9">
      <c r="A171" s="6" t="s">
        <v>366</v>
      </c>
      <c r="B171" s="6" t="s">
        <v>367</v>
      </c>
      <c r="C171" s="6"/>
      <c r="D171" s="6"/>
      <c r="E171" s="6">
        <v>0.248</v>
      </c>
      <c r="F171" s="6" t="s">
        <v>67</v>
      </c>
      <c r="G171" s="6" t="s">
        <v>52</v>
      </c>
      <c r="H171" s="6"/>
      <c r="I171" s="6"/>
    </row>
    <row r="172" spans="1:9">
      <c r="A172" s="6" t="s">
        <v>368</v>
      </c>
      <c r="B172" s="6" t="s">
        <v>369</v>
      </c>
      <c r="C172" s="6"/>
      <c r="D172" s="6"/>
      <c r="E172" s="6">
        <v>0.19</v>
      </c>
      <c r="F172" s="6" t="s">
        <v>52</v>
      </c>
      <c r="G172" s="6" t="s">
        <v>20</v>
      </c>
      <c r="H172" s="6"/>
      <c r="I172" s="6"/>
    </row>
    <row r="173" spans="1:9">
      <c r="A173" s="6" t="s">
        <v>370</v>
      </c>
      <c r="B173" s="6" t="s">
        <v>371</v>
      </c>
      <c r="C173" s="6"/>
      <c r="D173" s="6"/>
      <c r="E173" s="6">
        <v>0.17899999999999999</v>
      </c>
      <c r="F173" s="6" t="s">
        <v>52</v>
      </c>
      <c r="G173" s="6" t="s">
        <v>20</v>
      </c>
      <c r="H173" s="6"/>
      <c r="I173" s="6"/>
    </row>
    <row r="174" spans="1:9">
      <c r="A174" s="6" t="s">
        <v>372</v>
      </c>
      <c r="B174" s="6" t="s">
        <v>373</v>
      </c>
      <c r="C174" s="6"/>
      <c r="D174" s="6"/>
      <c r="E174" s="6">
        <v>0.155</v>
      </c>
      <c r="F174" s="6" t="s">
        <v>67</v>
      </c>
      <c r="G174" s="6" t="s">
        <v>67</v>
      </c>
      <c r="H174" s="6"/>
      <c r="I174" s="6"/>
    </row>
    <row r="175" spans="1:9">
      <c r="A175" s="6" t="s">
        <v>374</v>
      </c>
      <c r="B175" s="6" t="s">
        <v>375</v>
      </c>
      <c r="C175" s="6"/>
      <c r="D175" s="6"/>
      <c r="E175" s="6">
        <v>0.14399999999999999</v>
      </c>
      <c r="F175" s="6" t="s">
        <v>67</v>
      </c>
      <c r="G175" s="6" t="s">
        <v>67</v>
      </c>
      <c r="H175" s="6"/>
      <c r="I175" s="6"/>
    </row>
    <row r="176" spans="1:9">
      <c r="A176" s="6" t="s">
        <v>376</v>
      </c>
      <c r="B176" s="6" t="s">
        <v>377</v>
      </c>
      <c r="C176" s="6"/>
      <c r="D176" s="6"/>
      <c r="E176" s="6">
        <v>0.14299999999999999</v>
      </c>
      <c r="F176" s="6" t="s">
        <v>52</v>
      </c>
      <c r="G176" s="6" t="s">
        <v>52</v>
      </c>
      <c r="H176" s="6"/>
      <c r="I176" s="6"/>
    </row>
    <row r="177" spans="1:9">
      <c r="A177" s="6" t="s">
        <v>378</v>
      </c>
      <c r="B177" s="6" t="s">
        <v>379</v>
      </c>
      <c r="C177" s="6"/>
      <c r="D177" s="6"/>
      <c r="E177" s="6">
        <v>0.14199999999999999</v>
      </c>
      <c r="F177" s="6" t="s">
        <v>67</v>
      </c>
      <c r="G177" s="6" t="s">
        <v>52</v>
      </c>
      <c r="H177" s="6"/>
      <c r="I177" s="6"/>
    </row>
    <row r="178" spans="1:9">
      <c r="A178" s="6" t="s">
        <v>380</v>
      </c>
      <c r="B178" s="7" t="s">
        <v>381</v>
      </c>
      <c r="C178" s="6"/>
      <c r="D178" s="6"/>
      <c r="E178" s="6">
        <v>0.13500000000000001</v>
      </c>
      <c r="F178" s="6" t="s">
        <v>52</v>
      </c>
      <c r="G178" s="6" t="s">
        <v>20</v>
      </c>
      <c r="H178" s="6"/>
      <c r="I178" s="6"/>
    </row>
    <row r="179" spans="1:9">
      <c r="A179" s="6" t="s">
        <v>382</v>
      </c>
      <c r="B179" s="6" t="s">
        <v>383</v>
      </c>
      <c r="C179" s="6"/>
      <c r="D179" s="6"/>
      <c r="E179" s="6">
        <v>0.10100000000000001</v>
      </c>
      <c r="F179" s="6" t="s">
        <v>67</v>
      </c>
      <c r="G179" s="6" t="s">
        <v>52</v>
      </c>
      <c r="H179" s="6"/>
      <c r="I179" s="6"/>
    </row>
    <row r="180" spans="1:9">
      <c r="A180" s="8" t="s">
        <v>384</v>
      </c>
      <c r="B180" s="8" t="s">
        <v>385</v>
      </c>
      <c r="C180" s="8" t="s">
        <v>56</v>
      </c>
      <c r="D180" s="8"/>
      <c r="E180" s="8"/>
      <c r="F180" s="8" t="s">
        <v>96</v>
      </c>
      <c r="G180" s="8" t="s">
        <v>96</v>
      </c>
      <c r="H180" s="8" t="s">
        <v>56</v>
      </c>
      <c r="I180" s="8" t="s">
        <v>56</v>
      </c>
    </row>
    <row r="181" spans="1:9">
      <c r="A181" s="8" t="s">
        <v>386</v>
      </c>
      <c r="B181" s="8" t="s">
        <v>387</v>
      </c>
      <c r="C181" s="8" t="s">
        <v>56</v>
      </c>
      <c r="D181" s="8"/>
      <c r="E181" s="8"/>
      <c r="F181" s="8" t="s">
        <v>67</v>
      </c>
      <c r="G181" s="8" t="s">
        <v>67</v>
      </c>
      <c r="H181" s="8" t="s">
        <v>56</v>
      </c>
      <c r="I181" s="8" t="s">
        <v>56</v>
      </c>
    </row>
    <row r="182" spans="1:9">
      <c r="A182" s="8" t="s">
        <v>388</v>
      </c>
      <c r="B182" s="8" t="s">
        <v>389</v>
      </c>
      <c r="C182" s="8" t="s">
        <v>53</v>
      </c>
      <c r="D182" s="8"/>
      <c r="E182" s="8"/>
      <c r="F182" s="8" t="s">
        <v>67</v>
      </c>
      <c r="G182" s="8" t="s">
        <v>67</v>
      </c>
      <c r="H182" s="8" t="s">
        <v>53</v>
      </c>
      <c r="I182" s="8" t="s">
        <v>50</v>
      </c>
    </row>
    <row r="183" spans="1:9">
      <c r="A183" s="8" t="s">
        <v>390</v>
      </c>
      <c r="B183" s="8" t="s">
        <v>391</v>
      </c>
      <c r="C183" s="8" t="s">
        <v>56</v>
      </c>
      <c r="D183" s="8"/>
      <c r="E183" s="8"/>
      <c r="F183" s="8" t="s">
        <v>96</v>
      </c>
      <c r="G183" s="8" t="s">
        <v>96</v>
      </c>
      <c r="H183" s="8" t="s">
        <v>56</v>
      </c>
      <c r="I183" s="8" t="s">
        <v>56</v>
      </c>
    </row>
    <row r="184" spans="1:9">
      <c r="A184" s="8" t="s">
        <v>392</v>
      </c>
      <c r="B184" s="8" t="s">
        <v>393</v>
      </c>
      <c r="C184" s="8" t="s">
        <v>17</v>
      </c>
      <c r="D184" s="8"/>
      <c r="E184" s="8"/>
      <c r="F184" s="8" t="s">
        <v>67</v>
      </c>
      <c r="G184" s="8" t="s">
        <v>31</v>
      </c>
      <c r="H184" s="8" t="s">
        <v>17</v>
      </c>
      <c r="I184" s="8" t="s">
        <v>15</v>
      </c>
    </row>
    <row r="185" spans="1:9">
      <c r="A185" s="8" t="s">
        <v>394</v>
      </c>
      <c r="B185" s="8" t="s">
        <v>395</v>
      </c>
      <c r="C185" s="8" t="s">
        <v>56</v>
      </c>
      <c r="D185" s="8"/>
      <c r="E185" s="8"/>
      <c r="F185" s="8" t="s">
        <v>96</v>
      </c>
      <c r="G185" s="8" t="s">
        <v>96</v>
      </c>
      <c r="H185" s="8" t="s">
        <v>56</v>
      </c>
      <c r="I185" s="8" t="s">
        <v>56</v>
      </c>
    </row>
    <row r="186" spans="1:9">
      <c r="A186" s="8" t="s">
        <v>396</v>
      </c>
      <c r="B186" s="8" t="s">
        <v>397</v>
      </c>
      <c r="C186" s="8" t="s">
        <v>56</v>
      </c>
      <c r="D186" s="8"/>
      <c r="E186" s="8"/>
      <c r="F186" s="8" t="s">
        <v>67</v>
      </c>
      <c r="G186" s="8" t="s">
        <v>67</v>
      </c>
      <c r="H186" s="8" t="s">
        <v>56</v>
      </c>
      <c r="I186" s="8" t="s">
        <v>56</v>
      </c>
    </row>
    <row r="187" spans="1:9">
      <c r="A187" s="8" t="s">
        <v>398</v>
      </c>
      <c r="B187" s="8" t="s">
        <v>399</v>
      </c>
      <c r="C187" s="8" t="s">
        <v>53</v>
      </c>
      <c r="D187" s="8"/>
      <c r="E187" s="8"/>
      <c r="F187" s="8" t="s">
        <v>67</v>
      </c>
      <c r="G187" s="8" t="s">
        <v>67</v>
      </c>
      <c r="H187" s="8" t="s">
        <v>53</v>
      </c>
      <c r="I187" s="8" t="s">
        <v>50</v>
      </c>
    </row>
    <row r="188" spans="1:9">
      <c r="A188" s="8" t="s">
        <v>400</v>
      </c>
      <c r="B188" s="8" t="s">
        <v>401</v>
      </c>
      <c r="C188" s="8" t="s">
        <v>53</v>
      </c>
      <c r="D188" s="8"/>
      <c r="E188" s="8"/>
      <c r="F188" s="8" t="s">
        <v>67</v>
      </c>
      <c r="G188" s="8" t="s">
        <v>67</v>
      </c>
      <c r="H188" s="8" t="s">
        <v>53</v>
      </c>
      <c r="I188" s="8" t="s">
        <v>50</v>
      </c>
    </row>
    <row r="189" spans="1:9">
      <c r="A189" s="8" t="s">
        <v>402</v>
      </c>
      <c r="B189" s="8" t="s">
        <v>403</v>
      </c>
      <c r="C189" s="8" t="s">
        <v>56</v>
      </c>
      <c r="D189" s="8"/>
      <c r="E189" s="8"/>
      <c r="F189" s="8" t="s">
        <v>67</v>
      </c>
      <c r="G189" s="8" t="s">
        <v>67</v>
      </c>
      <c r="H189" s="8" t="s">
        <v>56</v>
      </c>
      <c r="I189" s="8" t="s">
        <v>56</v>
      </c>
    </row>
    <row r="190" spans="1:9">
      <c r="A190" s="8" t="s">
        <v>404</v>
      </c>
      <c r="B190" s="8" t="s">
        <v>405</v>
      </c>
      <c r="C190" s="8" t="s">
        <v>56</v>
      </c>
      <c r="D190" s="8"/>
      <c r="E190" s="8"/>
      <c r="F190" s="8" t="s">
        <v>96</v>
      </c>
      <c r="G190" s="8" t="s">
        <v>96</v>
      </c>
      <c r="H190" s="8" t="s">
        <v>56</v>
      </c>
      <c r="I190" s="8" t="s">
        <v>56</v>
      </c>
    </row>
    <row r="191" spans="1:9">
      <c r="A191" s="8" t="s">
        <v>406</v>
      </c>
      <c r="B191" s="8" t="s">
        <v>407</v>
      </c>
      <c r="C191" s="8" t="s">
        <v>56</v>
      </c>
      <c r="D191" s="8"/>
      <c r="E191" s="8"/>
      <c r="F191" s="8" t="s">
        <v>96</v>
      </c>
      <c r="G191" s="8" t="s">
        <v>96</v>
      </c>
      <c r="H191" s="8" t="s">
        <v>56</v>
      </c>
      <c r="I191" s="8" t="s">
        <v>56</v>
      </c>
    </row>
    <row r="192" spans="1:9">
      <c r="A192" s="8" t="s">
        <v>408</v>
      </c>
      <c r="B192" s="8" t="s">
        <v>409</v>
      </c>
      <c r="C192" s="8" t="s">
        <v>56</v>
      </c>
      <c r="D192" s="8"/>
      <c r="E192" s="8"/>
      <c r="F192" s="8" t="s">
        <v>67</v>
      </c>
      <c r="G192" s="8" t="s">
        <v>67</v>
      </c>
      <c r="H192" s="8" t="s">
        <v>56</v>
      </c>
      <c r="I192" s="8" t="s">
        <v>56</v>
      </c>
    </row>
    <row r="193" spans="1:9">
      <c r="A193" s="8" t="s">
        <v>410</v>
      </c>
      <c r="B193" s="8" t="s">
        <v>411</v>
      </c>
      <c r="C193" s="8" t="s">
        <v>56</v>
      </c>
      <c r="D193" s="8"/>
      <c r="E193" s="8"/>
      <c r="F193" s="8" t="s">
        <v>52</v>
      </c>
      <c r="G193" s="8" t="s">
        <v>20</v>
      </c>
      <c r="H193" s="8" t="s">
        <v>56</v>
      </c>
      <c r="I193" s="8" t="s">
        <v>56</v>
      </c>
    </row>
    <row r="194" spans="1:9">
      <c r="A194" s="8" t="s">
        <v>412</v>
      </c>
      <c r="B194" s="8" t="s">
        <v>413</v>
      </c>
      <c r="C194" s="8" t="s">
        <v>56</v>
      </c>
      <c r="D194" s="8"/>
      <c r="E194" s="8"/>
      <c r="F194" s="8" t="s">
        <v>96</v>
      </c>
      <c r="G194" s="8" t="s">
        <v>96</v>
      </c>
      <c r="H194" s="8" t="s">
        <v>56</v>
      </c>
      <c r="I194" s="8" t="s">
        <v>56</v>
      </c>
    </row>
    <row r="195" spans="1:9">
      <c r="A195" s="8" t="s">
        <v>414</v>
      </c>
      <c r="B195" s="8" t="s">
        <v>415</v>
      </c>
      <c r="C195" s="8" t="s">
        <v>17</v>
      </c>
      <c r="D195" s="8"/>
      <c r="E195" s="8"/>
      <c r="F195" s="8" t="s">
        <v>20</v>
      </c>
      <c r="G195" s="8" t="s">
        <v>31</v>
      </c>
      <c r="H195" s="8" t="s">
        <v>17</v>
      </c>
      <c r="I195" s="8" t="s">
        <v>15</v>
      </c>
    </row>
    <row r="196" spans="1:9">
      <c r="A196" s="8" t="s">
        <v>416</v>
      </c>
      <c r="B196" s="8" t="s">
        <v>417</v>
      </c>
      <c r="C196" s="8" t="s">
        <v>53</v>
      </c>
      <c r="D196" s="8"/>
      <c r="E196" s="8"/>
      <c r="F196" s="8" t="s">
        <v>20</v>
      </c>
      <c r="G196" s="8" t="s">
        <v>20</v>
      </c>
      <c r="H196" s="8" t="s">
        <v>53</v>
      </c>
      <c r="I196" s="8" t="s">
        <v>50</v>
      </c>
    </row>
    <row r="197" spans="1:9">
      <c r="A197" s="8" t="s">
        <v>418</v>
      </c>
      <c r="B197" s="8" t="s">
        <v>419</v>
      </c>
      <c r="C197" s="8" t="s">
        <v>17</v>
      </c>
      <c r="D197" s="8"/>
      <c r="E197" s="8"/>
      <c r="F197" s="8" t="s">
        <v>20</v>
      </c>
      <c r="G197" s="8" t="s">
        <v>52</v>
      </c>
      <c r="H197" s="8" t="s">
        <v>17</v>
      </c>
      <c r="I197" s="8" t="s">
        <v>15</v>
      </c>
    </row>
    <row r="198" spans="1:9">
      <c r="A198" s="8" t="s">
        <v>420</v>
      </c>
      <c r="B198" s="8" t="s">
        <v>421</v>
      </c>
      <c r="C198" s="8" t="s">
        <v>56</v>
      </c>
      <c r="D198" s="8"/>
      <c r="E198" s="8"/>
      <c r="F198" s="8" t="s">
        <v>96</v>
      </c>
      <c r="G198" s="8" t="s">
        <v>96</v>
      </c>
      <c r="H198" s="8" t="s">
        <v>56</v>
      </c>
      <c r="I198" s="8" t="s">
        <v>56</v>
      </c>
    </row>
    <row r="199" spans="1:9">
      <c r="A199" s="8" t="s">
        <v>422</v>
      </c>
      <c r="B199" s="8" t="s">
        <v>423</v>
      </c>
      <c r="C199" s="8" t="s">
        <v>17</v>
      </c>
      <c r="D199" s="8"/>
      <c r="E199" s="8"/>
      <c r="F199" s="8" t="s">
        <v>20</v>
      </c>
      <c r="G199" s="8" t="s">
        <v>31</v>
      </c>
      <c r="H199" s="8" t="s">
        <v>17</v>
      </c>
      <c r="I199" s="8" t="s">
        <v>15</v>
      </c>
    </row>
    <row r="200" spans="1:9">
      <c r="A200" s="8" t="s">
        <v>424</v>
      </c>
      <c r="B200" s="8" t="s">
        <v>425</v>
      </c>
      <c r="C200" s="8" t="s">
        <v>53</v>
      </c>
      <c r="D200" s="8"/>
      <c r="E200" s="8"/>
      <c r="F200" s="8" t="s">
        <v>67</v>
      </c>
      <c r="G200" s="8" t="s">
        <v>67</v>
      </c>
      <c r="H200" s="8" t="s">
        <v>53</v>
      </c>
      <c r="I200" s="8" t="s">
        <v>50</v>
      </c>
    </row>
    <row r="201" spans="1:9">
      <c r="A201" s="8" t="s">
        <v>426</v>
      </c>
      <c r="B201" s="8" t="s">
        <v>427</v>
      </c>
      <c r="C201" s="8" t="s">
        <v>17</v>
      </c>
      <c r="D201" s="8"/>
      <c r="E201" s="8"/>
      <c r="F201" s="8" t="s">
        <v>96</v>
      </c>
      <c r="G201" s="8" t="s">
        <v>31</v>
      </c>
      <c r="H201" s="8" t="s">
        <v>17</v>
      </c>
      <c r="I201" s="8" t="s">
        <v>15</v>
      </c>
    </row>
    <row r="202" spans="1:9">
      <c r="A202" s="8" t="s">
        <v>428</v>
      </c>
      <c r="B202" s="8" t="s">
        <v>429</v>
      </c>
      <c r="C202" s="8" t="s">
        <v>56</v>
      </c>
      <c r="D202" s="8"/>
      <c r="E202" s="8"/>
      <c r="F202" s="8" t="s">
        <v>96</v>
      </c>
      <c r="G202" s="8" t="s">
        <v>96</v>
      </c>
      <c r="H202" s="8" t="s">
        <v>56</v>
      </c>
      <c r="I202" s="8" t="s">
        <v>56</v>
      </c>
    </row>
    <row r="203" spans="1:9">
      <c r="A203" s="8" t="s">
        <v>430</v>
      </c>
      <c r="B203" s="8" t="s">
        <v>431</v>
      </c>
      <c r="C203" s="8" t="s">
        <v>56</v>
      </c>
      <c r="D203" s="8"/>
      <c r="E203" s="8"/>
      <c r="F203" s="8" t="s">
        <v>67</v>
      </c>
      <c r="G203" s="8" t="s">
        <v>67</v>
      </c>
      <c r="H203" s="8" t="s">
        <v>56</v>
      </c>
      <c r="I203" s="8" t="s">
        <v>56</v>
      </c>
    </row>
    <row r="204" spans="1:9">
      <c r="A204" s="8" t="s">
        <v>432</v>
      </c>
      <c r="B204" s="8" t="s">
        <v>433</v>
      </c>
      <c r="C204" s="8" t="s">
        <v>17</v>
      </c>
      <c r="D204" s="8"/>
      <c r="E204" s="8"/>
      <c r="F204" s="8"/>
      <c r="G204" s="8"/>
      <c r="H204" s="8" t="s">
        <v>17</v>
      </c>
      <c r="I204" s="8" t="s">
        <v>15</v>
      </c>
    </row>
    <row r="205" spans="1:9">
      <c r="A205" s="8" t="s">
        <v>434</v>
      </c>
      <c r="B205" s="8" t="s">
        <v>435</v>
      </c>
      <c r="C205" s="8" t="s">
        <v>56</v>
      </c>
      <c r="D205" s="8"/>
      <c r="E205" s="8"/>
      <c r="F205" s="8" t="s">
        <v>96</v>
      </c>
      <c r="G205" s="8" t="s">
        <v>96</v>
      </c>
      <c r="H205" s="8" t="s">
        <v>56</v>
      </c>
      <c r="I205" s="8" t="s">
        <v>56</v>
      </c>
    </row>
    <row r="206" spans="1:9">
      <c r="A206" s="8" t="s">
        <v>436</v>
      </c>
      <c r="B206" s="8" t="s">
        <v>437</v>
      </c>
      <c r="C206" s="8" t="s">
        <v>17</v>
      </c>
      <c r="D206" s="8"/>
      <c r="E206" s="8"/>
      <c r="F206" s="8"/>
      <c r="G206" s="8"/>
      <c r="H206" s="8" t="s">
        <v>17</v>
      </c>
      <c r="I206" s="8" t="s">
        <v>15</v>
      </c>
    </row>
    <row r="207" spans="1:9">
      <c r="A207" s="8" t="s">
        <v>438</v>
      </c>
      <c r="B207" s="8" t="s">
        <v>439</v>
      </c>
      <c r="C207" s="8" t="s">
        <v>56</v>
      </c>
      <c r="D207" s="8"/>
      <c r="E207" s="8"/>
      <c r="F207" s="8" t="s">
        <v>52</v>
      </c>
      <c r="G207" s="8" t="s">
        <v>52</v>
      </c>
      <c r="H207" s="8" t="s">
        <v>56</v>
      </c>
      <c r="I207" s="8" t="s">
        <v>56</v>
      </c>
    </row>
    <row r="208" spans="1:9">
      <c r="A208" s="8" t="s">
        <v>440</v>
      </c>
      <c r="B208" s="8" t="s">
        <v>441</v>
      </c>
      <c r="C208" s="8" t="s">
        <v>56</v>
      </c>
      <c r="D208" s="8"/>
      <c r="E208" s="8"/>
      <c r="F208" s="8" t="s">
        <v>96</v>
      </c>
      <c r="G208" s="8" t="s">
        <v>96</v>
      </c>
      <c r="H208" s="8" t="s">
        <v>56</v>
      </c>
      <c r="I208" s="8" t="s">
        <v>56</v>
      </c>
    </row>
    <row r="209" spans="1:9">
      <c r="A209" s="8" t="s">
        <v>442</v>
      </c>
      <c r="B209" s="8" t="s">
        <v>443</v>
      </c>
      <c r="C209" s="8" t="s">
        <v>56</v>
      </c>
      <c r="D209" s="8"/>
      <c r="E209" s="8"/>
      <c r="F209" s="8" t="s">
        <v>67</v>
      </c>
      <c r="G209" s="8" t="s">
        <v>67</v>
      </c>
      <c r="H209" s="8" t="s">
        <v>56</v>
      </c>
      <c r="I209" s="8" t="s">
        <v>56</v>
      </c>
    </row>
    <row r="210" spans="1:9">
      <c r="A210" s="8" t="s">
        <v>444</v>
      </c>
      <c r="B210" s="8" t="s">
        <v>445</v>
      </c>
      <c r="C210" s="8" t="s">
        <v>56</v>
      </c>
      <c r="D210" s="8"/>
      <c r="E210" s="8"/>
      <c r="F210" s="8" t="s">
        <v>96</v>
      </c>
      <c r="G210" s="8" t="s">
        <v>96</v>
      </c>
      <c r="H210" s="8" t="s">
        <v>56</v>
      </c>
      <c r="I210" s="8" t="s">
        <v>56</v>
      </c>
    </row>
    <row r="211" spans="1:9">
      <c r="A211" s="8" t="s">
        <v>446</v>
      </c>
      <c r="B211" s="8" t="s">
        <v>447</v>
      </c>
      <c r="C211" s="8" t="s">
        <v>17</v>
      </c>
      <c r="D211" s="8"/>
      <c r="E211" s="8"/>
      <c r="F211" s="8" t="s">
        <v>31</v>
      </c>
      <c r="G211" s="8" t="s">
        <v>52</v>
      </c>
      <c r="H211" s="8" t="s">
        <v>17</v>
      </c>
      <c r="I211" s="8" t="s">
        <v>15</v>
      </c>
    </row>
    <row r="212" spans="1:9">
      <c r="A212" s="8" t="s">
        <v>448</v>
      </c>
      <c r="B212" s="8" t="s">
        <v>449</v>
      </c>
      <c r="C212" s="8" t="s">
        <v>56</v>
      </c>
      <c r="D212" s="8"/>
      <c r="E212" s="8"/>
      <c r="F212" s="8" t="s">
        <v>96</v>
      </c>
      <c r="G212" s="8" t="s">
        <v>96</v>
      </c>
      <c r="H212" s="8" t="s">
        <v>56</v>
      </c>
      <c r="I212" s="8" t="s">
        <v>56</v>
      </c>
    </row>
    <row r="213" spans="1:9">
      <c r="A213" s="8" t="s">
        <v>450</v>
      </c>
      <c r="B213" s="8" t="s">
        <v>451</v>
      </c>
      <c r="C213" s="8" t="s">
        <v>56</v>
      </c>
      <c r="D213" s="8"/>
      <c r="E213" s="8"/>
      <c r="F213" s="8" t="s">
        <v>67</v>
      </c>
      <c r="G213" s="8" t="s">
        <v>67</v>
      </c>
      <c r="H213" s="8" t="s">
        <v>56</v>
      </c>
      <c r="I213" s="8" t="s">
        <v>56</v>
      </c>
    </row>
    <row r="214" spans="1:9">
      <c r="A214" s="8" t="s">
        <v>452</v>
      </c>
      <c r="B214" s="8" t="s">
        <v>453</v>
      </c>
      <c r="C214" s="8" t="s">
        <v>56</v>
      </c>
      <c r="D214" s="8"/>
      <c r="E214" s="8"/>
      <c r="F214" s="8" t="s">
        <v>96</v>
      </c>
      <c r="G214" s="8" t="s">
        <v>96</v>
      </c>
      <c r="H214" s="8" t="s">
        <v>56</v>
      </c>
      <c r="I214" s="8" t="s">
        <v>56</v>
      </c>
    </row>
    <row r="215" spans="1:9">
      <c r="A215" s="8" t="s">
        <v>454</v>
      </c>
      <c r="B215" s="8" t="s">
        <v>455</v>
      </c>
      <c r="C215" s="8" t="s">
        <v>56</v>
      </c>
      <c r="D215" s="8"/>
      <c r="E215" s="8"/>
      <c r="F215" s="8" t="s">
        <v>67</v>
      </c>
      <c r="G215" s="8" t="s">
        <v>67</v>
      </c>
      <c r="H215" s="8" t="s">
        <v>56</v>
      </c>
      <c r="I215" s="8" t="s">
        <v>56</v>
      </c>
    </row>
    <row r="216" spans="1:9">
      <c r="A216" s="8" t="s">
        <v>456</v>
      </c>
      <c r="B216" s="8" t="s">
        <v>457</v>
      </c>
      <c r="C216" s="8" t="s">
        <v>56</v>
      </c>
      <c r="D216" s="8"/>
      <c r="E216" s="8"/>
      <c r="F216" s="8" t="s">
        <v>52</v>
      </c>
      <c r="G216" s="8" t="s">
        <v>52</v>
      </c>
      <c r="H216" s="8" t="s">
        <v>56</v>
      </c>
      <c r="I216" s="8" t="s">
        <v>56</v>
      </c>
    </row>
    <row r="217" spans="1:9">
      <c r="A217" s="8" t="s">
        <v>458</v>
      </c>
      <c r="B217" s="8" t="s">
        <v>459</v>
      </c>
      <c r="C217" s="8" t="s">
        <v>56</v>
      </c>
      <c r="D217" s="8"/>
      <c r="E217" s="8"/>
      <c r="F217" s="8" t="s">
        <v>96</v>
      </c>
      <c r="G217" s="8" t="s">
        <v>96</v>
      </c>
      <c r="H217" s="8" t="s">
        <v>56</v>
      </c>
      <c r="I217" s="8" t="s">
        <v>56</v>
      </c>
    </row>
    <row r="218" spans="1:9">
      <c r="A218" s="8" t="s">
        <v>460</v>
      </c>
      <c r="B218" s="8" t="s">
        <v>461</v>
      </c>
      <c r="C218" s="8" t="s">
        <v>56</v>
      </c>
      <c r="D218" s="8"/>
      <c r="E218" s="8"/>
      <c r="F218" s="8" t="s">
        <v>67</v>
      </c>
      <c r="G218" s="8" t="s">
        <v>67</v>
      </c>
      <c r="H218" s="8" t="s">
        <v>56</v>
      </c>
      <c r="I218" s="8" t="s">
        <v>56</v>
      </c>
    </row>
    <row r="219" spans="1:9">
      <c r="A219" s="8" t="s">
        <v>462</v>
      </c>
      <c r="B219" s="8" t="s">
        <v>463</v>
      </c>
      <c r="C219" s="8" t="s">
        <v>56</v>
      </c>
      <c r="D219" s="8"/>
      <c r="E219" s="8"/>
      <c r="F219" s="8" t="s">
        <v>20</v>
      </c>
      <c r="G219" s="8" t="s">
        <v>52</v>
      </c>
      <c r="H219" s="8" t="s">
        <v>56</v>
      </c>
      <c r="I219" s="8" t="s">
        <v>56</v>
      </c>
    </row>
    <row r="220" spans="1:9">
      <c r="A220" s="8" t="s">
        <v>63</v>
      </c>
      <c r="B220" s="9" t="s">
        <v>464</v>
      </c>
      <c r="C220" s="8" t="s">
        <v>56</v>
      </c>
      <c r="D220" s="8"/>
      <c r="E220" s="8"/>
      <c r="F220" s="8" t="s">
        <v>20</v>
      </c>
      <c r="G220" s="8" t="s">
        <v>20</v>
      </c>
      <c r="H220" s="8" t="s">
        <v>56</v>
      </c>
      <c r="I220" s="8" t="s">
        <v>56</v>
      </c>
    </row>
    <row r="221" spans="1:9">
      <c r="A221" s="8" t="s">
        <v>465</v>
      </c>
      <c r="B221" s="8" t="s">
        <v>466</v>
      </c>
      <c r="C221" s="8" t="s">
        <v>53</v>
      </c>
      <c r="D221" s="8"/>
      <c r="E221" s="8"/>
      <c r="F221" s="8" t="s">
        <v>20</v>
      </c>
      <c r="G221" s="8" t="s">
        <v>20</v>
      </c>
      <c r="H221" s="8" t="s">
        <v>53</v>
      </c>
      <c r="I221" s="8" t="s">
        <v>50</v>
      </c>
    </row>
    <row r="222" spans="1:9">
      <c r="A222" s="8" t="s">
        <v>467</v>
      </c>
      <c r="B222" s="8" t="s">
        <v>468</v>
      </c>
      <c r="C222" s="8" t="s">
        <v>56</v>
      </c>
      <c r="D222" s="8"/>
      <c r="E222" s="8"/>
      <c r="F222" s="8" t="s">
        <v>96</v>
      </c>
      <c r="G222" s="8" t="s">
        <v>96</v>
      </c>
      <c r="H222" s="8" t="s">
        <v>56</v>
      </c>
      <c r="I222" s="8" t="s">
        <v>56</v>
      </c>
    </row>
    <row r="223" spans="1:9">
      <c r="A223" s="8" t="s">
        <v>469</v>
      </c>
      <c r="B223" s="8" t="s">
        <v>470</v>
      </c>
      <c r="C223" s="8" t="s">
        <v>56</v>
      </c>
      <c r="D223" s="8"/>
      <c r="E223" s="8"/>
      <c r="F223" s="8" t="s">
        <v>96</v>
      </c>
      <c r="G223" s="8" t="s">
        <v>96</v>
      </c>
      <c r="H223" s="8" t="s">
        <v>56</v>
      </c>
      <c r="I223" s="8" t="s">
        <v>56</v>
      </c>
    </row>
    <row r="224" spans="1:9">
      <c r="A224" s="8" t="s">
        <v>471</v>
      </c>
      <c r="B224" s="8" t="s">
        <v>472</v>
      </c>
      <c r="C224" s="8" t="s">
        <v>56</v>
      </c>
      <c r="D224" s="8"/>
      <c r="E224" s="8"/>
      <c r="F224" s="8" t="s">
        <v>96</v>
      </c>
      <c r="G224" s="8" t="s">
        <v>96</v>
      </c>
      <c r="H224" s="8" t="s">
        <v>56</v>
      </c>
      <c r="I224" s="8" t="s">
        <v>56</v>
      </c>
    </row>
    <row r="225" spans="1:9">
      <c r="A225" s="8" t="s">
        <v>473</v>
      </c>
      <c r="B225" s="8" t="s">
        <v>474</v>
      </c>
      <c r="C225" s="8" t="s">
        <v>56</v>
      </c>
      <c r="D225" s="8"/>
      <c r="E225" s="8"/>
      <c r="F225" s="8" t="s">
        <v>67</v>
      </c>
      <c r="G225" s="8" t="s">
        <v>67</v>
      </c>
      <c r="H225" s="8" t="s">
        <v>56</v>
      </c>
      <c r="I225" s="8" t="s">
        <v>56</v>
      </c>
    </row>
    <row r="226" spans="1:9">
      <c r="A226" s="8" t="s">
        <v>475</v>
      </c>
      <c r="B226" s="8" t="s">
        <v>476</v>
      </c>
      <c r="C226" s="8" t="s">
        <v>56</v>
      </c>
      <c r="D226" s="8"/>
      <c r="E226" s="8"/>
      <c r="F226" s="8" t="s">
        <v>96</v>
      </c>
      <c r="G226" s="8" t="s">
        <v>96</v>
      </c>
      <c r="H226" s="8" t="s">
        <v>56</v>
      </c>
      <c r="I226" s="8" t="s">
        <v>56</v>
      </c>
    </row>
    <row r="227" spans="1:9">
      <c r="A227" s="8" t="s">
        <v>477</v>
      </c>
      <c r="B227" s="8" t="s">
        <v>478</v>
      </c>
      <c r="C227" s="8" t="s">
        <v>56</v>
      </c>
      <c r="D227" s="8"/>
      <c r="E227" s="8"/>
      <c r="F227" s="8" t="s">
        <v>67</v>
      </c>
      <c r="G227" s="8" t="s">
        <v>67</v>
      </c>
      <c r="H227" s="8" t="s">
        <v>56</v>
      </c>
      <c r="I227" s="8" t="s">
        <v>56</v>
      </c>
    </row>
    <row r="228" spans="1:9">
      <c r="A228" s="8" t="s">
        <v>479</v>
      </c>
      <c r="B228" s="8" t="s">
        <v>480</v>
      </c>
      <c r="C228" s="8" t="s">
        <v>53</v>
      </c>
      <c r="D228" s="8"/>
      <c r="E228" s="8"/>
      <c r="F228" s="8" t="s">
        <v>67</v>
      </c>
      <c r="G228" s="8" t="s">
        <v>52</v>
      </c>
      <c r="H228" s="8" t="s">
        <v>53</v>
      </c>
      <c r="I228" s="8" t="s">
        <v>50</v>
      </c>
    </row>
    <row r="229" spans="1:9">
      <c r="A229" s="8" t="s">
        <v>481</v>
      </c>
      <c r="B229" s="8" t="s">
        <v>482</v>
      </c>
      <c r="C229" s="8" t="s">
        <v>53</v>
      </c>
      <c r="D229" s="8"/>
      <c r="E229" s="8"/>
      <c r="F229" s="8" t="s">
        <v>67</v>
      </c>
      <c r="G229" s="8" t="s">
        <v>52</v>
      </c>
      <c r="H229" s="8" t="s">
        <v>53</v>
      </c>
      <c r="I229" s="8" t="s">
        <v>50</v>
      </c>
    </row>
    <row r="230" spans="1:9">
      <c r="A230" s="8" t="s">
        <v>483</v>
      </c>
      <c r="B230" s="8" t="s">
        <v>484</v>
      </c>
      <c r="C230" s="8" t="s">
        <v>56</v>
      </c>
      <c r="D230" s="8"/>
      <c r="E230" s="8"/>
      <c r="F230" s="8" t="s">
        <v>96</v>
      </c>
      <c r="G230" s="8" t="s">
        <v>96</v>
      </c>
      <c r="H230" s="8" t="s">
        <v>56</v>
      </c>
      <c r="I230" s="8" t="s">
        <v>56</v>
      </c>
    </row>
    <row r="231" spans="1:9">
      <c r="A231" s="8" t="s">
        <v>485</v>
      </c>
      <c r="B231" s="8" t="s">
        <v>486</v>
      </c>
      <c r="C231" s="8" t="s">
        <v>17</v>
      </c>
      <c r="D231" s="8"/>
      <c r="E231" s="8"/>
      <c r="F231" s="8" t="s">
        <v>52</v>
      </c>
      <c r="G231" s="8" t="s">
        <v>31</v>
      </c>
      <c r="H231" s="8" t="s">
        <v>17</v>
      </c>
      <c r="I231" s="8" t="s">
        <v>15</v>
      </c>
    </row>
    <row r="232" spans="1:9">
      <c r="A232" s="8" t="s">
        <v>487</v>
      </c>
      <c r="B232" s="8" t="s">
        <v>488</v>
      </c>
      <c r="C232" s="8" t="s">
        <v>56</v>
      </c>
      <c r="D232" s="8"/>
      <c r="E232" s="8"/>
      <c r="F232" s="8" t="s">
        <v>96</v>
      </c>
      <c r="G232" s="8" t="s">
        <v>96</v>
      </c>
      <c r="H232" s="8" t="s">
        <v>56</v>
      </c>
      <c r="I232" s="8" t="s">
        <v>56</v>
      </c>
    </row>
    <row r="233" spans="1:9">
      <c r="A233" s="8" t="s">
        <v>489</v>
      </c>
      <c r="B233" s="8" t="s">
        <v>490</v>
      </c>
      <c r="C233" s="8" t="s">
        <v>56</v>
      </c>
      <c r="D233" s="8"/>
      <c r="E233" s="8"/>
      <c r="F233" s="8" t="s">
        <v>96</v>
      </c>
      <c r="G233" s="8" t="s">
        <v>96</v>
      </c>
      <c r="H233" s="8" t="s">
        <v>56</v>
      </c>
      <c r="I233" s="8" t="s">
        <v>56</v>
      </c>
    </row>
    <row r="234" spans="1:9">
      <c r="A234" s="8" t="s">
        <v>491</v>
      </c>
      <c r="B234" s="8" t="s">
        <v>492</v>
      </c>
      <c r="C234" s="8" t="s">
        <v>56</v>
      </c>
      <c r="D234" s="8"/>
      <c r="E234" s="8"/>
      <c r="F234" s="8" t="s">
        <v>96</v>
      </c>
      <c r="G234" s="8" t="s">
        <v>96</v>
      </c>
      <c r="H234" s="8" t="s">
        <v>56</v>
      </c>
      <c r="I234" s="8" t="s">
        <v>56</v>
      </c>
    </row>
    <row r="235" spans="1:9">
      <c r="A235" s="8" t="s">
        <v>493</v>
      </c>
      <c r="B235" s="8" t="s">
        <v>494</v>
      </c>
      <c r="C235" s="8" t="s">
        <v>53</v>
      </c>
      <c r="D235" s="8"/>
      <c r="E235" s="8"/>
      <c r="F235" s="8" t="s">
        <v>67</v>
      </c>
      <c r="G235" s="8" t="s">
        <v>67</v>
      </c>
      <c r="H235" s="8" t="s">
        <v>53</v>
      </c>
      <c r="I235" s="8" t="s">
        <v>50</v>
      </c>
    </row>
    <row r="236" spans="1:9">
      <c r="A236" s="8" t="s">
        <v>495</v>
      </c>
      <c r="B236" s="8" t="s">
        <v>496</v>
      </c>
      <c r="C236" s="8" t="s">
        <v>56</v>
      </c>
      <c r="D236" s="8"/>
      <c r="E236" s="8"/>
      <c r="F236" s="8" t="s">
        <v>52</v>
      </c>
      <c r="G236" s="8" t="s">
        <v>52</v>
      </c>
      <c r="H236" s="8" t="s">
        <v>56</v>
      </c>
      <c r="I236" s="8" t="s">
        <v>56</v>
      </c>
    </row>
    <row r="237" spans="1:9">
      <c r="A237" s="8" t="s">
        <v>497</v>
      </c>
      <c r="B237" s="8" t="s">
        <v>498</v>
      </c>
      <c r="C237" s="8" t="s">
        <v>53</v>
      </c>
      <c r="D237" s="8"/>
      <c r="E237" s="8"/>
      <c r="F237" s="8" t="s">
        <v>20</v>
      </c>
      <c r="G237" s="8" t="s">
        <v>52</v>
      </c>
      <c r="H237" s="8" t="s">
        <v>53</v>
      </c>
      <c r="I237" s="8" t="s">
        <v>50</v>
      </c>
    </row>
    <row r="238" spans="1:9">
      <c r="A238" s="8" t="s">
        <v>499</v>
      </c>
      <c r="B238" s="8" t="s">
        <v>500</v>
      </c>
      <c r="C238" s="8" t="s">
        <v>17</v>
      </c>
      <c r="D238" s="8"/>
      <c r="E238" s="8"/>
      <c r="F238" s="8" t="s">
        <v>67</v>
      </c>
      <c r="G238" s="8" t="s">
        <v>31</v>
      </c>
      <c r="H238" s="8" t="s">
        <v>17</v>
      </c>
      <c r="I238" s="8" t="s">
        <v>15</v>
      </c>
    </row>
    <row r="239" spans="1:9">
      <c r="A239" s="8" t="s">
        <v>501</v>
      </c>
      <c r="B239" s="8" t="s">
        <v>502</v>
      </c>
      <c r="C239" s="8" t="s">
        <v>17</v>
      </c>
      <c r="D239" s="8"/>
      <c r="E239" s="8"/>
      <c r="F239" s="8" t="e">
        <v>#N/A</v>
      </c>
      <c r="G239" s="8" t="e">
        <v>#N/A</v>
      </c>
      <c r="H239" s="8" t="s">
        <v>17</v>
      </c>
      <c r="I239" s="8" t="s">
        <v>15</v>
      </c>
    </row>
    <row r="240" spans="1:9">
      <c r="A240" s="8" t="s">
        <v>503</v>
      </c>
      <c r="B240" s="8" t="s">
        <v>504</v>
      </c>
      <c r="C240" s="8" t="s">
        <v>56</v>
      </c>
      <c r="D240" s="8"/>
      <c r="E240" s="8"/>
      <c r="F240" s="8" t="s">
        <v>96</v>
      </c>
      <c r="G240" s="8" t="s">
        <v>96</v>
      </c>
      <c r="H240" s="8" t="s">
        <v>56</v>
      </c>
      <c r="I240" s="8" t="s">
        <v>56</v>
      </c>
    </row>
    <row r="241" spans="1:9">
      <c r="A241" s="8" t="s">
        <v>505</v>
      </c>
      <c r="B241" s="8" t="s">
        <v>506</v>
      </c>
      <c r="C241" s="8" t="s">
        <v>56</v>
      </c>
      <c r="D241" s="8"/>
      <c r="E241" s="8"/>
      <c r="F241" s="8" t="s">
        <v>52</v>
      </c>
      <c r="G241" s="8" t="s">
        <v>52</v>
      </c>
      <c r="H241" s="8" t="s">
        <v>56</v>
      </c>
      <c r="I241" s="8" t="s">
        <v>56</v>
      </c>
    </row>
    <row r="242" spans="1:9">
      <c r="A242" s="8" t="s">
        <v>507</v>
      </c>
      <c r="B242" s="8" t="s">
        <v>508</v>
      </c>
      <c r="C242" s="8" t="s">
        <v>56</v>
      </c>
      <c r="D242" s="8"/>
      <c r="E242" s="8"/>
      <c r="F242" s="8" t="s">
        <v>96</v>
      </c>
      <c r="G242" s="8" t="s">
        <v>67</v>
      </c>
      <c r="H242" s="8" t="s">
        <v>56</v>
      </c>
      <c r="I242" s="8" t="s">
        <v>56</v>
      </c>
    </row>
    <row r="243" spans="1:9">
      <c r="A243" s="8" t="s">
        <v>509</v>
      </c>
      <c r="B243" s="8" t="s">
        <v>510</v>
      </c>
      <c r="C243" s="8" t="s">
        <v>56</v>
      </c>
      <c r="D243" s="8"/>
      <c r="E243" s="8"/>
      <c r="F243" s="8" t="s">
        <v>96</v>
      </c>
      <c r="G243" s="8" t="s">
        <v>96</v>
      </c>
      <c r="H243" s="8" t="s">
        <v>56</v>
      </c>
      <c r="I243" s="8" t="s">
        <v>56</v>
      </c>
    </row>
    <row r="244" spans="1:9">
      <c r="A244" s="8" t="s">
        <v>511</v>
      </c>
      <c r="B244" s="8" t="s">
        <v>512</v>
      </c>
      <c r="C244" s="8" t="s">
        <v>56</v>
      </c>
      <c r="D244" s="8"/>
      <c r="E244" s="8"/>
      <c r="F244" s="8" t="s">
        <v>96</v>
      </c>
      <c r="G244" s="8" t="s">
        <v>96</v>
      </c>
      <c r="H244" s="8" t="s">
        <v>56</v>
      </c>
      <c r="I244" s="8" t="s">
        <v>56</v>
      </c>
    </row>
    <row r="245" spans="1:9">
      <c r="A245" s="8" t="s">
        <v>513</v>
      </c>
      <c r="B245" s="8" t="s">
        <v>514</v>
      </c>
      <c r="C245" s="8" t="s">
        <v>56</v>
      </c>
      <c r="D245" s="8"/>
      <c r="E245" s="8"/>
      <c r="F245" s="8" t="s">
        <v>96</v>
      </c>
      <c r="G245" s="8" t="s">
        <v>96</v>
      </c>
      <c r="H245" s="8" t="s">
        <v>56</v>
      </c>
      <c r="I245" s="8" t="s">
        <v>56</v>
      </c>
    </row>
    <row r="246" spans="1:9">
      <c r="A246" s="8" t="s">
        <v>515</v>
      </c>
      <c r="B246" s="8" t="s">
        <v>516</v>
      </c>
      <c r="C246" s="8" t="s">
        <v>56</v>
      </c>
      <c r="D246" s="8"/>
      <c r="E246" s="8"/>
      <c r="F246" s="8" t="s">
        <v>52</v>
      </c>
      <c r="G246" s="8" t="s">
        <v>20</v>
      </c>
      <c r="H246" s="8" t="s">
        <v>56</v>
      </c>
      <c r="I246" s="8" t="s">
        <v>56</v>
      </c>
    </row>
    <row r="247" spans="1:9">
      <c r="A247" s="8" t="s">
        <v>517</v>
      </c>
      <c r="B247" s="8" t="s">
        <v>518</v>
      </c>
      <c r="C247" s="8" t="s">
        <v>56</v>
      </c>
      <c r="D247" s="8"/>
      <c r="E247" s="8"/>
      <c r="F247" s="8" t="s">
        <v>96</v>
      </c>
      <c r="G247" s="8" t="s">
        <v>96</v>
      </c>
      <c r="H247" s="8" t="s">
        <v>56</v>
      </c>
      <c r="I247" s="8" t="s">
        <v>56</v>
      </c>
    </row>
    <row r="248" spans="1:9">
      <c r="A248" s="8" t="s">
        <v>519</v>
      </c>
      <c r="B248" s="8" t="s">
        <v>520</v>
      </c>
      <c r="C248" s="8" t="s">
        <v>17</v>
      </c>
      <c r="D248" s="8"/>
      <c r="E248" s="8"/>
      <c r="F248" s="8" t="s">
        <v>67</v>
      </c>
      <c r="G248" s="8" t="s">
        <v>67</v>
      </c>
      <c r="H248" s="8" t="s">
        <v>17</v>
      </c>
      <c r="I248" s="8" t="s">
        <v>15</v>
      </c>
    </row>
    <row r="249" spans="1:9">
      <c r="A249" s="8" t="s">
        <v>521</v>
      </c>
      <c r="B249" s="8" t="s">
        <v>522</v>
      </c>
      <c r="C249" s="8" t="s">
        <v>56</v>
      </c>
      <c r="D249" s="8"/>
      <c r="E249" s="8"/>
      <c r="F249" s="8" t="s">
        <v>52</v>
      </c>
      <c r="G249" s="8" t="s">
        <v>20</v>
      </c>
      <c r="H249" s="8" t="s">
        <v>56</v>
      </c>
      <c r="I249" s="8" t="s">
        <v>56</v>
      </c>
    </row>
    <row r="250" spans="1:9">
      <c r="A250" s="8" t="s">
        <v>523</v>
      </c>
      <c r="B250" s="8" t="s">
        <v>524</v>
      </c>
      <c r="C250" s="8" t="s">
        <v>17</v>
      </c>
      <c r="D250" s="8"/>
      <c r="E250" s="8"/>
      <c r="F250" s="8" t="s">
        <v>52</v>
      </c>
      <c r="G250" s="8" t="s">
        <v>31</v>
      </c>
      <c r="H250" s="8" t="s">
        <v>17</v>
      </c>
      <c r="I250" s="8" t="s">
        <v>15</v>
      </c>
    </row>
    <row r="251" spans="1:9">
      <c r="A251" s="8" t="s">
        <v>525</v>
      </c>
      <c r="B251" s="8" t="s">
        <v>526</v>
      </c>
      <c r="C251" s="8" t="s">
        <v>56</v>
      </c>
      <c r="D251" s="8"/>
      <c r="E251" s="8"/>
      <c r="F251" s="8" t="s">
        <v>96</v>
      </c>
      <c r="G251" s="8" t="s">
        <v>96</v>
      </c>
      <c r="H251" s="8" t="s">
        <v>56</v>
      </c>
      <c r="I251" s="8" t="s">
        <v>56</v>
      </c>
    </row>
    <row r="252" spans="1:9">
      <c r="A252" s="8" t="s">
        <v>527</v>
      </c>
      <c r="B252" s="8" t="s">
        <v>528</v>
      </c>
      <c r="C252" s="8" t="s">
        <v>56</v>
      </c>
      <c r="D252" s="8"/>
      <c r="E252" s="8"/>
      <c r="F252" s="8" t="s">
        <v>96</v>
      </c>
      <c r="G252" s="8" t="s">
        <v>96</v>
      </c>
      <c r="H252" s="8" t="s">
        <v>56</v>
      </c>
      <c r="I252" s="8" t="s">
        <v>56</v>
      </c>
    </row>
    <row r="253" spans="1:9">
      <c r="A253" s="8" t="s">
        <v>529</v>
      </c>
      <c r="B253" s="8" t="s">
        <v>530</v>
      </c>
      <c r="C253" s="8" t="s">
        <v>56</v>
      </c>
      <c r="D253" s="8"/>
      <c r="E253" s="8"/>
      <c r="F253" s="8" t="s">
        <v>96</v>
      </c>
      <c r="G253" s="8" t="s">
        <v>96</v>
      </c>
      <c r="H253" s="8" t="s">
        <v>56</v>
      </c>
      <c r="I253" s="8" t="s">
        <v>56</v>
      </c>
    </row>
    <row r="254" spans="1:9">
      <c r="A254" s="8" t="s">
        <v>531</v>
      </c>
      <c r="B254" s="8" t="s">
        <v>532</v>
      </c>
      <c r="C254" s="8" t="s">
        <v>56</v>
      </c>
      <c r="D254" s="8"/>
      <c r="E254" s="8"/>
      <c r="F254" s="8" t="s">
        <v>96</v>
      </c>
      <c r="G254" s="8" t="s">
        <v>96</v>
      </c>
      <c r="H254" s="8" t="s">
        <v>56</v>
      </c>
      <c r="I254" s="8" t="s">
        <v>56</v>
      </c>
    </row>
    <row r="255" spans="1:9">
      <c r="A255" s="8" t="s">
        <v>533</v>
      </c>
      <c r="B255" s="8" t="s">
        <v>534</v>
      </c>
      <c r="C255" s="8" t="s">
        <v>56</v>
      </c>
      <c r="D255" s="8"/>
      <c r="E255" s="8"/>
      <c r="F255" s="8" t="s">
        <v>96</v>
      </c>
      <c r="G255" s="8" t="s">
        <v>96</v>
      </c>
      <c r="H255" s="8" t="s">
        <v>56</v>
      </c>
      <c r="I255" s="8" t="s">
        <v>56</v>
      </c>
    </row>
    <row r="256" spans="1:9">
      <c r="A256" s="8" t="s">
        <v>535</v>
      </c>
      <c r="B256" s="8" t="s">
        <v>536</v>
      </c>
      <c r="C256" s="8" t="s">
        <v>56</v>
      </c>
      <c r="D256" s="8"/>
      <c r="E256" s="8"/>
      <c r="F256" s="8" t="s">
        <v>96</v>
      </c>
      <c r="G256" s="8" t="s">
        <v>96</v>
      </c>
      <c r="H256" s="8" t="s">
        <v>56</v>
      </c>
      <c r="I256" s="8" t="s">
        <v>56</v>
      </c>
    </row>
    <row r="257" spans="1:9">
      <c r="A257" s="8" t="s">
        <v>537</v>
      </c>
      <c r="B257" s="8" t="s">
        <v>538</v>
      </c>
      <c r="C257" s="8" t="s">
        <v>56</v>
      </c>
      <c r="D257" s="8"/>
      <c r="E257" s="8"/>
      <c r="F257" s="8" t="s">
        <v>96</v>
      </c>
      <c r="G257" s="8" t="s">
        <v>96</v>
      </c>
      <c r="H257" s="8" t="s">
        <v>56</v>
      </c>
      <c r="I257" s="8" t="s">
        <v>56</v>
      </c>
    </row>
    <row r="258" spans="1:9">
      <c r="A258" s="8" t="s">
        <v>539</v>
      </c>
      <c r="B258" s="8" t="s">
        <v>540</v>
      </c>
      <c r="C258" s="8" t="s">
        <v>56</v>
      </c>
      <c r="D258" s="8"/>
      <c r="E258" s="8"/>
      <c r="F258" s="8" t="s">
        <v>96</v>
      </c>
      <c r="G258" s="8" t="s">
        <v>96</v>
      </c>
      <c r="H258" s="8" t="s">
        <v>56</v>
      </c>
      <c r="I258" s="8" t="s">
        <v>56</v>
      </c>
    </row>
    <row r="259" spans="1:9">
      <c r="A259" s="8" t="s">
        <v>541</v>
      </c>
      <c r="B259" s="8" t="s">
        <v>542</v>
      </c>
      <c r="C259" s="8" t="s">
        <v>56</v>
      </c>
      <c r="D259" s="8"/>
      <c r="E259" s="8"/>
      <c r="F259" s="8" t="s">
        <v>96</v>
      </c>
      <c r="G259" s="8" t="s">
        <v>96</v>
      </c>
      <c r="H259" s="8" t="s">
        <v>56</v>
      </c>
      <c r="I259" s="8" t="s">
        <v>56</v>
      </c>
    </row>
    <row r="260" spans="1:9">
      <c r="A260" s="8" t="s">
        <v>543</v>
      </c>
      <c r="B260" s="8" t="s">
        <v>544</v>
      </c>
      <c r="C260" s="8" t="s">
        <v>17</v>
      </c>
      <c r="D260" s="8"/>
      <c r="E260" s="8"/>
      <c r="F260" s="8" t="s">
        <v>52</v>
      </c>
      <c r="G260" s="8" t="s">
        <v>31</v>
      </c>
      <c r="H260" s="8" t="s">
        <v>17</v>
      </c>
      <c r="I260" s="8" t="s">
        <v>15</v>
      </c>
    </row>
    <row r="261" spans="1:9">
      <c r="A261" s="8" t="s">
        <v>545</v>
      </c>
      <c r="B261" s="8" t="s">
        <v>546</v>
      </c>
      <c r="C261" s="8" t="s">
        <v>56</v>
      </c>
      <c r="D261" s="8"/>
      <c r="E261" s="8"/>
      <c r="F261" s="8" t="s">
        <v>67</v>
      </c>
      <c r="G261" s="8" t="s">
        <v>67</v>
      </c>
      <c r="H261" s="8" t="s">
        <v>56</v>
      </c>
      <c r="I261" s="8" t="s">
        <v>56</v>
      </c>
    </row>
  </sheetData>
  <autoFilter ref="A1:I261" xr:uid="{70F66ECD-B56D-4AFA-9058-FAE9F244833B}"/>
  <conditionalFormatting sqref="B1:B15">
    <cfRule type="duplicateValues" dxfId="1" priority="2"/>
  </conditionalFormatting>
  <conditionalFormatting sqref="B182:B1048576 B1:B180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B6CC-16CF-4409-992C-64AB637C5038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5802-CE7C-469C-A7FF-7055CF5B7A98}">
  <dimension ref="A1:D33"/>
  <sheetViews>
    <sheetView workbookViewId="0">
      <selection activeCell="B1" sqref="B1"/>
    </sheetView>
  </sheetViews>
  <sheetFormatPr defaultRowHeight="14.45"/>
  <cols>
    <col min="1" max="1" width="36.5703125" bestFit="1" customWidth="1"/>
    <col min="3" max="3" width="29.7109375" customWidth="1"/>
  </cols>
  <sheetData>
    <row r="1" spans="1:4">
      <c r="A1" s="3" t="s">
        <v>547</v>
      </c>
      <c r="B1" t="str">
        <f>_xlfn.TEXTBEFORE(_xlfn.TEXTAFTER(A1,"cas-"),"_")</f>
        <v>140-10-3</v>
      </c>
      <c r="C1" t="str">
        <f>INDEX(Sheet1!$A$1:$G$34, MATCH(Sheet2!B1,Sheet1!B:B,0), 1)</f>
        <v>cinnamic acid</v>
      </c>
      <c r="D1" t="str">
        <f>INDEX(Sheet1!$A$1:$G$34, MATCH(Sheet2!B1,Sheet1!B:B,0), 3)</f>
        <v>weak</v>
      </c>
    </row>
    <row r="2" spans="1:4">
      <c r="A2" s="3" t="s">
        <v>548</v>
      </c>
      <c r="B2" t="str">
        <f t="shared" ref="B2:B33" si="0">_xlfn.TEXTBEFORE(_xlfn.TEXTAFTER(A2,"cas-"),"_")</f>
        <v>34816-55-2</v>
      </c>
      <c r="C2" t="str">
        <f>INDEX(Sheet1!$A$1:$G$34, MATCH(Sheet2!B2,Sheet1!B:B,0), 1)</f>
        <v>Moxestrol</v>
      </c>
      <c r="D2" t="str">
        <f>INDEX(Sheet1!$A$1:$G$34, MATCH(Sheet2!B2,Sheet1!B:B,0), 3)</f>
        <v>strong</v>
      </c>
    </row>
    <row r="3" spans="1:4">
      <c r="A3" s="3" t="s">
        <v>549</v>
      </c>
      <c r="B3" t="str">
        <f t="shared" si="0"/>
        <v>99-76-3</v>
      </c>
      <c r="C3" t="str">
        <f>INDEX(Sheet1!$A$1:$G$34, MATCH(Sheet2!B3,Sheet1!B:B,0), 1)</f>
        <v>Methyl 4-hydroxybenzoate</v>
      </c>
      <c r="D3" t="str">
        <f>INDEX(Sheet1!$A$1:$G$34, MATCH(Sheet2!B3,Sheet1!B:B,0), 3)</f>
        <v>weak</v>
      </c>
    </row>
    <row r="4" spans="1:4">
      <c r="A4" s="3" t="s">
        <v>550</v>
      </c>
      <c r="B4" t="str">
        <f t="shared" si="0"/>
        <v>474-86-2</v>
      </c>
      <c r="C4" t="str">
        <f>INDEX(Sheet1!$A$1:$G$34, MATCH(Sheet2!B4,Sheet1!B:B,0), 1)</f>
        <v>Equilin</v>
      </c>
      <c r="D4" t="s">
        <v>15</v>
      </c>
    </row>
    <row r="5" spans="1:4">
      <c r="A5" s="3" t="s">
        <v>551</v>
      </c>
      <c r="B5" t="str">
        <f t="shared" si="0"/>
        <v>115-29-7</v>
      </c>
      <c r="C5" t="s">
        <v>84</v>
      </c>
      <c r="D5" t="str">
        <f>INDEX(Sheet1!$A$1:$G$34, MATCH(Sheet2!B5,Sheet1!B:B,0), 3)</f>
        <v>weak</v>
      </c>
    </row>
    <row r="6" spans="1:4">
      <c r="A6" s="3" t="s">
        <v>552</v>
      </c>
      <c r="B6" t="str">
        <f t="shared" si="0"/>
        <v>72-55-9</v>
      </c>
      <c r="C6" t="str">
        <f>INDEX(Sheet1!$A$1:$G$34, MATCH(Sheet2!B6,Sheet1!B:B,0), 1)</f>
        <v>p,p'-DDE</v>
      </c>
      <c r="D6" t="str">
        <f>INDEX(Sheet1!$A$1:$G$34, MATCH(Sheet2!B6,Sheet1!B:B,0), 3)</f>
        <v>weak</v>
      </c>
    </row>
    <row r="7" spans="1:4">
      <c r="A7" s="3" t="s">
        <v>553</v>
      </c>
      <c r="B7" t="str">
        <f t="shared" si="0"/>
        <v>84-17-3</v>
      </c>
      <c r="C7" t="str">
        <f>INDEX(Sheet1!$A$1:$G$34, MATCH(Sheet2!B7,Sheet1!B:B,0), 1)</f>
        <v>Dienestrol</v>
      </c>
      <c r="D7" t="str">
        <f>INDEX(Sheet1!$A$1:$G$34, MATCH(Sheet2!B7,Sheet1!B:B,0), 3)</f>
        <v>strong</v>
      </c>
    </row>
    <row r="8" spans="1:4" ht="28.9">
      <c r="A8" s="3" t="s">
        <v>554</v>
      </c>
      <c r="B8" t="str">
        <f t="shared" si="0"/>
        <v>120-47-8</v>
      </c>
      <c r="C8" t="str">
        <f>INDEX(Sheet1!$A$1:$G$34, MATCH(Sheet2!B8,Sheet1!B:B,0), 1)</f>
        <v>Ethyl 4-hydroxybenzoate</v>
      </c>
      <c r="D8" t="str">
        <f>INDEX(Sheet1!$A$1:$G$34, MATCH(Sheet2!B8,Sheet1!B:B,0), 3)</f>
        <v>weak</v>
      </c>
    </row>
    <row r="9" spans="1:4">
      <c r="A9" s="3" t="s">
        <v>555</v>
      </c>
      <c r="B9" t="str">
        <f t="shared" si="0"/>
        <v>92-69-3</v>
      </c>
      <c r="C9" t="str">
        <f>INDEX(Sheet1!$A$1:$G$34, MATCH(Sheet2!B9,Sheet1!B:B,0), 1)</f>
        <v>4-Hydroxybiphenyl</v>
      </c>
      <c r="D9" t="str">
        <f>INDEX(Sheet1!$A$1:$G$34, MATCH(Sheet2!B9,Sheet1!B:B,0), 3)</f>
        <v>weak</v>
      </c>
    </row>
    <row r="10" spans="1:4">
      <c r="A10" s="3" t="s">
        <v>556</v>
      </c>
      <c r="B10" t="str">
        <f t="shared" si="0"/>
        <v>50-27-1</v>
      </c>
      <c r="C10" t="str">
        <f>INDEX(Sheet1!$A$1:$G$34, MATCH(Sheet2!B10,Sheet1!B:B,0), 1)</f>
        <v>Estriol</v>
      </c>
      <c r="D10" t="str">
        <f>INDEX(Sheet1!$A$1:$G$34, MATCH(Sheet2!B10,Sheet1!B:B,0), 3)</f>
        <v>strong</v>
      </c>
    </row>
    <row r="11" spans="1:4">
      <c r="A11" s="3" t="s">
        <v>557</v>
      </c>
      <c r="B11" t="str">
        <f t="shared" si="0"/>
        <v>72-43-5</v>
      </c>
      <c r="C11" t="str">
        <f>INDEX(Sheet1!$A$1:$G$34, MATCH(Sheet2!B11,Sheet1!B:B,0), 1)</f>
        <v>p,p'-Methoxychlor</v>
      </c>
      <c r="D11" t="str">
        <f>INDEX(Sheet1!$A$1:$G$34, MATCH(Sheet2!B11,Sheet1!B:B,0), 3)</f>
        <v>weak</v>
      </c>
    </row>
    <row r="12" spans="1:4">
      <c r="A12" s="3" t="s">
        <v>558</v>
      </c>
      <c r="B12" t="str">
        <f t="shared" si="0"/>
        <v>1570-64-5</v>
      </c>
      <c r="C12" t="str">
        <f>INDEX(Sheet1!$A$1:$G$34, MATCH(Sheet2!B12,Sheet1!B:B,0), 1)</f>
        <v>4-Chloro-2-methyl phenol</v>
      </c>
      <c r="D12" t="str">
        <f>INDEX(Sheet1!$A$1:$G$34, MATCH(Sheet2!B12,Sheet1!B:B,0), 3)</f>
        <v>weak</v>
      </c>
    </row>
    <row r="13" spans="1:4">
      <c r="A13" s="3" t="s">
        <v>559</v>
      </c>
      <c r="B13" t="str">
        <f t="shared" si="0"/>
        <v>123-07-9</v>
      </c>
      <c r="C13" t="str">
        <f>INDEX(Sheet1!$A$1:$G$34, MATCH(Sheet2!B13,Sheet1!B:B,0), 1)</f>
        <v>4-Ethylphenol</v>
      </c>
      <c r="D13" t="str">
        <f>INDEX(Sheet1!$A$1:$G$34, MATCH(Sheet2!B13,Sheet1!B:B,0), 3)</f>
        <v>weak</v>
      </c>
    </row>
    <row r="14" spans="1:4">
      <c r="A14" s="3" t="s">
        <v>560</v>
      </c>
      <c r="B14" t="str">
        <f t="shared" si="0"/>
        <v>90-43-7</v>
      </c>
      <c r="C14" t="str">
        <f>INDEX(Sheet1!$A$1:$G$34, MATCH(Sheet2!B14,Sheet1!B:B,0), 1)</f>
        <v>2-Hydroxy biphenyl</v>
      </c>
      <c r="D14" t="str">
        <f>INDEX(Sheet1!$A$1:$G$34, MATCH(Sheet2!B14,Sheet1!B:B,0), 3)</f>
        <v>weak</v>
      </c>
    </row>
    <row r="15" spans="1:4">
      <c r="A15" s="3" t="s">
        <v>561</v>
      </c>
      <c r="B15" t="str">
        <f t="shared" si="0"/>
        <v>57-91-0</v>
      </c>
      <c r="C15" t="str">
        <f>INDEX(Sheet1!$A$1:$G$34, MATCH(Sheet2!B15,Sheet1!B:B,0), 1)</f>
        <v>17a-Estradiol</v>
      </c>
      <c r="D15" t="str">
        <f>INDEX(Sheet1!$A$1:$G$34, MATCH(Sheet2!B15,Sheet1!B:B,0), 3)</f>
        <v>strong</v>
      </c>
    </row>
    <row r="16" spans="1:4">
      <c r="A16" s="3" t="s">
        <v>562</v>
      </c>
      <c r="B16" t="str">
        <f t="shared" si="0"/>
        <v>59-50-7</v>
      </c>
      <c r="C16" t="str">
        <f>INDEX(Sheet1!$A$1:$G$34, MATCH(Sheet2!B16,Sheet1!B:B,0), 1)</f>
        <v>4-Chloro-3-methylphenol</v>
      </c>
      <c r="D16" t="str">
        <f>INDEX(Sheet1!$A$1:$G$34, MATCH(Sheet2!B16,Sheet1!B:B,0), 3)</f>
        <v>weak</v>
      </c>
    </row>
    <row r="17" spans="1:4">
      <c r="A17" s="3" t="s">
        <v>563</v>
      </c>
      <c r="B17" t="str">
        <f t="shared" si="0"/>
        <v>53-19-0</v>
      </c>
      <c r="C17" t="str">
        <f>INDEX(Sheet1!$A$1:$G$34, MATCH(Sheet2!B17,Sheet1!B:B,0), 1)</f>
        <v>o,p'-DDD</v>
      </c>
      <c r="D17" t="str">
        <f>INDEX(Sheet1!$A$1:$G$34, MATCH(Sheet2!B17,Sheet1!B:B,0), 3)</f>
        <v>weak</v>
      </c>
    </row>
    <row r="18" spans="1:4">
      <c r="A18" s="3" t="s">
        <v>564</v>
      </c>
      <c r="B18" t="str">
        <f t="shared" si="0"/>
        <v>131-57-7</v>
      </c>
      <c r="C18" t="str">
        <f>INDEX(Sheet1!$A$1:$G$34, MATCH(Sheet2!B18,Sheet1!B:B,0), 1)</f>
        <v>2-OH-4-Methoxy-benzophenone</v>
      </c>
      <c r="D18" t="str">
        <f>INDEX(Sheet1!$A$1:$G$34, MATCH(Sheet2!B18,Sheet1!B:B,0), 3)</f>
        <v>weak</v>
      </c>
    </row>
    <row r="19" spans="1:4">
      <c r="A19" s="3" t="s">
        <v>565</v>
      </c>
      <c r="B19" t="str">
        <f t="shared" si="0"/>
        <v>50-28-2</v>
      </c>
      <c r="C19" t="str">
        <f>INDEX(Sheet1!$A$1:$G$34, MATCH(Sheet2!B19,Sheet1!B:B,0), 1)</f>
        <v>17b-Estradiol (E2)</v>
      </c>
      <c r="D19" t="str">
        <f>INDEX(Sheet1!$A$1:$G$34, MATCH(Sheet2!B19,Sheet1!B:B,0), 3)</f>
        <v>strong</v>
      </c>
    </row>
    <row r="20" spans="1:4">
      <c r="A20" s="3" t="s">
        <v>566</v>
      </c>
      <c r="B20" t="str">
        <f t="shared" si="0"/>
        <v>84-16-2</v>
      </c>
      <c r="C20" t="str">
        <f>INDEX(Sheet1!$A$1:$G$34, MATCH(Sheet2!B20,Sheet1!B:B,0), 1)</f>
        <v>Hexestrol</v>
      </c>
      <c r="D20" t="str">
        <f>INDEX(Sheet1!$A$1:$G$34, MATCH(Sheet2!B20,Sheet1!B:B,0), 3)</f>
        <v>strong</v>
      </c>
    </row>
    <row r="21" spans="1:4">
      <c r="A21" s="3" t="s">
        <v>567</v>
      </c>
      <c r="B21" t="str">
        <f t="shared" si="0"/>
        <v>115-86-6</v>
      </c>
      <c r="C21" t="str">
        <f>INDEX(Sheet1!$A$1:$G$34, MATCH(Sheet2!B21,Sheet1!B:B,0), 1)</f>
        <v>Triphenyl phosphate</v>
      </c>
      <c r="D21" t="str">
        <f>INDEX(Sheet1!$A$1:$G$34, MATCH(Sheet2!B21,Sheet1!B:B,0), 3)</f>
        <v>weak</v>
      </c>
    </row>
    <row r="22" spans="1:4">
      <c r="A22" s="3" t="s">
        <v>568</v>
      </c>
      <c r="B22" t="str">
        <f t="shared" si="0"/>
        <v>84-69-5</v>
      </c>
      <c r="C22" t="str">
        <f>INDEX(Sheet1!$A$1:$G$34, MATCH(Sheet2!B22,Sheet1!B:B,0), 1)</f>
        <v>di-i-Butyl phthalate (DIBP)</v>
      </c>
      <c r="D22" t="str">
        <f>INDEX(Sheet1!$A$1:$G$34, MATCH(Sheet2!B22,Sheet1!B:B,0), 3)</f>
        <v>weak</v>
      </c>
    </row>
    <row r="23" spans="1:4">
      <c r="A23" s="3" t="s">
        <v>569</v>
      </c>
      <c r="B23" t="str">
        <f t="shared" si="0"/>
        <v>362-05-0</v>
      </c>
      <c r="C23" t="str">
        <f>INDEX(Sheet1!$A$1:$G$34, MATCH(Sheet2!B23,Sheet1!B:B,0), 1)</f>
        <v>2-OH-Estradiol</v>
      </c>
      <c r="D23" t="str">
        <f>INDEX(Sheet1!$A$1:$G$34, MATCH(Sheet2!B23,Sheet1!B:B,0), 3)</f>
        <v>strong</v>
      </c>
    </row>
    <row r="24" spans="1:4">
      <c r="A24" s="3" t="s">
        <v>570</v>
      </c>
      <c r="B24" t="str">
        <f t="shared" si="0"/>
        <v>85-68-7</v>
      </c>
      <c r="C24" t="str">
        <f>INDEX(Sheet1!$A$1:$G$34, MATCH(Sheet2!B24,Sheet1!B:B,0), 1)</f>
        <v>Butylbenzylphthalate</v>
      </c>
      <c r="D24" t="str">
        <f>INDEX(Sheet1!$A$1:$G$34, MATCH(Sheet2!B24,Sheet1!B:B,0), 3)</f>
        <v>weak</v>
      </c>
    </row>
    <row r="25" spans="1:4">
      <c r="A25" s="3" t="s">
        <v>571</v>
      </c>
      <c r="B25" t="str">
        <f t="shared" si="0"/>
        <v>53-63-4</v>
      </c>
      <c r="C25" t="str">
        <f>INDEX(Sheet1!$A$1:$G$34, MATCH(Sheet2!B25,Sheet1!B:B,0), 1)</f>
        <v>17-Deoxyestradiol</v>
      </c>
      <c r="D25" t="str">
        <f>INDEX(Sheet1!$A$1:$G$34, MATCH(Sheet2!B25,Sheet1!B:B,0), 3)</f>
        <v>strong</v>
      </c>
    </row>
    <row r="26" spans="1:4">
      <c r="A26" s="3" t="s">
        <v>572</v>
      </c>
      <c r="B26" t="str">
        <f t="shared" si="0"/>
        <v>97-54-1</v>
      </c>
      <c r="C26" t="str">
        <f>INDEX(Sheet1!$A$1:$G$34, MATCH(Sheet2!B26,Sheet1!B:B,0), 1)</f>
        <v>Isoeugenol</v>
      </c>
      <c r="D26" t="str">
        <f>INDEX(Sheet1!$A$1:$G$34, MATCH(Sheet2!B26,Sheet1!B:B,0), 3)</f>
        <v>weak</v>
      </c>
    </row>
    <row r="27" spans="1:4">
      <c r="A27" s="3" t="s">
        <v>573</v>
      </c>
      <c r="B27" t="str">
        <f t="shared" si="0"/>
        <v>72-54-8</v>
      </c>
      <c r="C27" t="str">
        <f>INDEX(Sheet1!$A$1:$G$34, MATCH(Sheet2!B27,Sheet1!B:B,0), 1)</f>
        <v>p,p'-DDD</v>
      </c>
      <c r="D27" t="str">
        <f>INDEX(Sheet1!$A$1:$G$34, MATCH(Sheet2!B27,Sheet1!B:B,0), 3)</f>
        <v>weak</v>
      </c>
    </row>
    <row r="28" spans="1:4">
      <c r="A28" s="3" t="s">
        <v>574</v>
      </c>
      <c r="B28" t="str">
        <f t="shared" si="0"/>
        <v>56-53-1</v>
      </c>
      <c r="C28" t="str">
        <f>INDEX(Sheet1!$A$1:$G$34, MATCH(Sheet2!B28,Sheet1!B:B,0), 1)</f>
        <v>Diethylstilbestrol (DES)</v>
      </c>
      <c r="D28" t="str">
        <f>INDEX(Sheet1!$A$1:$G$34, MATCH(Sheet2!B28,Sheet1!B:B,0), 3)</f>
        <v>strong</v>
      </c>
    </row>
    <row r="29" spans="1:4">
      <c r="A29" s="3" t="s">
        <v>575</v>
      </c>
      <c r="B29" t="str">
        <f t="shared" si="0"/>
        <v>57-63-6</v>
      </c>
      <c r="C29" t="str">
        <f>INDEX(Sheet1!$A$1:$G$34, MATCH(Sheet2!B29,Sheet1!B:B,0), 1)</f>
        <v>Ethynylestradiol</v>
      </c>
      <c r="D29" t="str">
        <f>INDEX(Sheet1!$A$1:$G$34, MATCH(Sheet2!B29,Sheet1!B:B,0), 3)</f>
        <v>strong</v>
      </c>
    </row>
    <row r="30" spans="1:4">
      <c r="A30" s="3" t="s">
        <v>576</v>
      </c>
      <c r="B30" t="str">
        <f t="shared" si="0"/>
        <v>72-33-3</v>
      </c>
      <c r="C30" t="str">
        <f>INDEX(Sheet1!$A$1:$G$34, MATCH(Sheet2!B30,Sheet1!B:B,0), 1)</f>
        <v>Mestranol</v>
      </c>
      <c r="D30" t="str">
        <f>INDEX(Sheet1!$A$1:$G$34, MATCH(Sheet2!B30,Sheet1!B:B,0), 3)</f>
        <v>strong</v>
      </c>
    </row>
    <row r="31" spans="1:4">
      <c r="A31" s="3" t="s">
        <v>577</v>
      </c>
      <c r="B31" t="str">
        <f t="shared" si="0"/>
        <v>207-13-4</v>
      </c>
      <c r="C31" t="str">
        <f>INDEX(Sheet1!$A$1:$G$34, MATCH(Sheet2!B31,Sheet1!B:B,0), 1)</f>
        <v>Bis(2-hydroxyphenyl)methane</v>
      </c>
      <c r="D31" t="str">
        <f>INDEX(Sheet1!$A$1:$G$34, MATCH(Sheet2!B31,Sheet1!B:B,0), 3)</f>
        <v>weak</v>
      </c>
    </row>
    <row r="32" spans="1:4">
      <c r="A32" s="3" t="s">
        <v>578</v>
      </c>
      <c r="B32" t="str">
        <f t="shared" si="0"/>
        <v>53-16-7</v>
      </c>
      <c r="C32" t="str">
        <f>INDEX(Sheet1!$A$1:$G$34, MATCH(Sheet2!B32,Sheet1!B:B,0), 1)</f>
        <v>Estrone</v>
      </c>
      <c r="D32" t="str">
        <f>INDEX(Sheet1!$A$1:$G$34, MATCH(Sheet2!B32,Sheet1!B:B,0), 3)</f>
        <v>strong</v>
      </c>
    </row>
    <row r="33" spans="1:4">
      <c r="A33" s="3" t="s">
        <v>579</v>
      </c>
      <c r="B33" t="str">
        <f t="shared" si="0"/>
        <v>5976-61-4</v>
      </c>
      <c r="C33" t="str">
        <f>INDEX(Sheet1!$A$1:$G$34, MATCH(Sheet2!B33,Sheet1!B:B,0), 1)</f>
        <v>4-OH-Estradiol</v>
      </c>
      <c r="D33" t="str">
        <f>INDEX(Sheet1!$A$1:$G$34, MATCH(Sheet2!B33,Sheet1!B:B,0), 3)</f>
        <v>strong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948D-959F-4CDB-98D3-3068819DCA22}">
  <dimension ref="A1:E74"/>
  <sheetViews>
    <sheetView topLeftCell="D1" workbookViewId="0">
      <selection activeCell="E74" sqref="E1:E74"/>
    </sheetView>
  </sheetViews>
  <sheetFormatPr defaultRowHeight="14.45"/>
  <cols>
    <col min="4" max="4" width="40.28515625" customWidth="1"/>
  </cols>
  <sheetData>
    <row r="1" spans="1:5">
      <c r="A1" s="4" t="s">
        <v>92</v>
      </c>
      <c r="B1" s="4" t="s">
        <v>93</v>
      </c>
      <c r="C1" s="4" t="s">
        <v>20</v>
      </c>
      <c r="D1" t="str">
        <f>"""" &amp; "cas-" &amp; B1 &amp; """: """ &amp; A1 &amp; ""","</f>
        <v>"cas-481-30-1": "Epitestesterone",</v>
      </c>
      <c r="E1" t="str">
        <f>"""" &amp; "cas-" &amp; B1 &amp; """: """ &amp; C1 &amp; ""","</f>
        <v>"cas-481-30-1": "Weak",</v>
      </c>
    </row>
    <row r="2" spans="1:5">
      <c r="A2" s="4" t="s">
        <v>94</v>
      </c>
      <c r="B2" s="4" t="s">
        <v>95</v>
      </c>
      <c r="C2" s="4" t="s">
        <v>20</v>
      </c>
      <c r="D2" t="str">
        <f t="shared" ref="D2:D65" si="0">"""" &amp; "cas-" &amp; B2 &amp; """: """ &amp; A2 &amp; ""","</f>
        <v>"cas-84-74-2": "di-n-Butyl phthalate (DBuP)",</v>
      </c>
      <c r="E2" t="str">
        <f t="shared" ref="E2:E65" si="1">"""" &amp; "cas-" &amp; B2 &amp; """: """ &amp; C2 &amp; ""","</f>
        <v>"cas-84-74-2": "Weak",</v>
      </c>
    </row>
    <row r="3" spans="1:5">
      <c r="A3" s="4" t="s">
        <v>97</v>
      </c>
      <c r="B3" s="4" t="s">
        <v>98</v>
      </c>
      <c r="C3" s="4" t="s">
        <v>20</v>
      </c>
      <c r="D3" t="str">
        <f t="shared" si="0"/>
        <v>"cas-571-22-2": "17b-Hydroxyetiocholan-3-one",</v>
      </c>
      <c r="E3" t="str">
        <f t="shared" si="1"/>
        <v>"cas-571-22-2": "Weak",</v>
      </c>
    </row>
    <row r="4" spans="1:5">
      <c r="A4" s="4" t="s">
        <v>99</v>
      </c>
      <c r="B4" s="4" t="s">
        <v>100</v>
      </c>
      <c r="C4" s="4" t="s">
        <v>20</v>
      </c>
      <c r="D4" t="str">
        <f t="shared" si="0"/>
        <v>"cas-218-01-9": "Chrysene",</v>
      </c>
      <c r="E4" t="str">
        <f t="shared" si="1"/>
        <v>"cas-218-01-9": "Weak",</v>
      </c>
    </row>
    <row r="5" spans="1:5">
      <c r="A5" s="4" t="s">
        <v>580</v>
      </c>
      <c r="B5" s="4" t="s">
        <v>102</v>
      </c>
      <c r="C5" s="4" t="s">
        <v>20</v>
      </c>
      <c r="D5" t="str">
        <f t="shared" si="0"/>
        <v>"cas-131-56-6": "2,4-Hydroxybenzophenone",</v>
      </c>
      <c r="E5" t="str">
        <f t="shared" si="1"/>
        <v>"cas-131-56-6": "Weak",</v>
      </c>
    </row>
    <row r="6" spans="1:5">
      <c r="A6" s="4" t="s">
        <v>103</v>
      </c>
      <c r="B6" s="4" t="s">
        <v>104</v>
      </c>
      <c r="C6" s="4" t="s">
        <v>20</v>
      </c>
      <c r="D6" t="str">
        <f t="shared" si="0"/>
        <v>"cas-143-74-8": "Phenol red",</v>
      </c>
      <c r="E6" t="str">
        <f t="shared" si="1"/>
        <v>"cas-143-74-8": "Weak",</v>
      </c>
    </row>
    <row r="7" spans="1:5">
      <c r="A7" s="4" t="s">
        <v>105</v>
      </c>
      <c r="B7" s="4" t="s">
        <v>106</v>
      </c>
      <c r="C7" s="4" t="s">
        <v>20</v>
      </c>
      <c r="D7" t="str">
        <f t="shared" si="0"/>
        <v>"cas-58-89-9": "Lindane (gama-HCH)",</v>
      </c>
      <c r="E7" t="str">
        <f t="shared" si="1"/>
        <v>"cas-58-89-9": "Weak",</v>
      </c>
    </row>
    <row r="8" spans="1:5">
      <c r="A8" s="4" t="s">
        <v>107</v>
      </c>
      <c r="B8" s="4" t="s">
        <v>108</v>
      </c>
      <c r="C8" s="4" t="s">
        <v>20</v>
      </c>
      <c r="D8" t="str">
        <f t="shared" si="0"/>
        <v>"cas-60-57-1": "Dieldrin",</v>
      </c>
      <c r="E8" t="str">
        <f t="shared" si="1"/>
        <v>"cas-60-57-1": "Weak",</v>
      </c>
    </row>
    <row r="9" spans="1:5">
      <c r="A9" s="4" t="s">
        <v>109</v>
      </c>
      <c r="B9" s="4" t="s">
        <v>110</v>
      </c>
      <c r="C9" s="4" t="s">
        <v>20</v>
      </c>
      <c r="D9" t="str">
        <f t="shared" si="0"/>
        <v>"cas-50-02-2": "Dexamethasone",</v>
      </c>
      <c r="E9" t="str">
        <f t="shared" si="1"/>
        <v>"cas-50-02-2": "Weak",</v>
      </c>
    </row>
    <row r="10" spans="1:5">
      <c r="A10" s="4" t="s">
        <v>111</v>
      </c>
      <c r="B10" s="4" t="s">
        <v>112</v>
      </c>
      <c r="C10" s="4" t="s">
        <v>20</v>
      </c>
      <c r="D10" t="str">
        <f t="shared" si="0"/>
        <v>"cas-81-90-3": "Phenolphthalin",</v>
      </c>
      <c r="E10" t="str">
        <f t="shared" si="1"/>
        <v>"cas-81-90-3": "Weak",</v>
      </c>
    </row>
    <row r="11" spans="1:5">
      <c r="A11" s="4" t="s">
        <v>581</v>
      </c>
      <c r="B11" s="4" t="s">
        <v>114</v>
      </c>
      <c r="C11" s="4" t="s">
        <v>20</v>
      </c>
      <c r="D11" t="str">
        <f t="shared" si="0"/>
        <v>"cas-80-09-1": "4,4'-Sulfonyldiphenol",</v>
      </c>
      <c r="E11" t="str">
        <f t="shared" si="1"/>
        <v>"cas-80-09-1": "Weak",</v>
      </c>
    </row>
    <row r="12" spans="1:5">
      <c r="A12" s="4" t="s">
        <v>582</v>
      </c>
      <c r="B12" s="4" t="s">
        <v>116</v>
      </c>
      <c r="C12" s="4" t="s">
        <v>20</v>
      </c>
      <c r="D12" t="str">
        <f t="shared" si="0"/>
        <v>"cas-2050-68-2": "4,4'-Dichlorobiphenyl",</v>
      </c>
      <c r="E12" t="str">
        <f t="shared" si="1"/>
        <v>"cas-2050-68-2": "Weak",</v>
      </c>
    </row>
    <row r="13" spans="1:5">
      <c r="A13" s="4" t="s">
        <v>117</v>
      </c>
      <c r="B13" s="4" t="s">
        <v>118</v>
      </c>
      <c r="C13" s="4" t="s">
        <v>20</v>
      </c>
      <c r="D13" t="str">
        <f t="shared" si="0"/>
        <v>"cas-521-18-6": "Dihydrotestosterone",</v>
      </c>
      <c r="E13" t="str">
        <f t="shared" si="1"/>
        <v>"cas-521-18-6": "Weak",</v>
      </c>
    </row>
    <row r="14" spans="1:5">
      <c r="A14" s="4" t="s">
        <v>119</v>
      </c>
      <c r="B14" s="4" t="s">
        <v>120</v>
      </c>
      <c r="C14" s="4" t="s">
        <v>20</v>
      </c>
      <c r="D14" t="str">
        <f t="shared" si="0"/>
        <v>"cas-1806-26-4": "4-n-Octylphenol",</v>
      </c>
      <c r="E14" t="str">
        <f t="shared" si="1"/>
        <v>"cas-1806-26-4": "Weak",</v>
      </c>
    </row>
    <row r="15" spans="1:5">
      <c r="A15" s="4" t="s">
        <v>121</v>
      </c>
      <c r="B15" s="4" t="s">
        <v>122</v>
      </c>
      <c r="C15" s="4" t="s">
        <v>20</v>
      </c>
      <c r="D15" t="str">
        <f t="shared" si="0"/>
        <v>"cas-1852-53-5": "3a-Androstanediol",</v>
      </c>
      <c r="E15" t="str">
        <f t="shared" si="1"/>
        <v>"cas-1852-53-5": "Weak",</v>
      </c>
    </row>
    <row r="16" spans="1:5">
      <c r="A16" s="4" t="s">
        <v>123</v>
      </c>
      <c r="B16" s="4" t="s">
        <v>124</v>
      </c>
      <c r="C16" s="4" t="s">
        <v>20</v>
      </c>
      <c r="D16" t="str">
        <f t="shared" si="0"/>
        <v>"cas-15372-34-6": "Doisynoestrol",</v>
      </c>
      <c r="E16" t="str">
        <f t="shared" si="1"/>
        <v>"cas-15372-34-6": "Weak",</v>
      </c>
    </row>
    <row r="17" spans="1:5">
      <c r="A17" s="4" t="s">
        <v>125</v>
      </c>
      <c r="B17" s="4" t="s">
        <v>126</v>
      </c>
      <c r="C17" s="4" t="s">
        <v>20</v>
      </c>
      <c r="D17" t="str">
        <f t="shared" si="0"/>
        <v>"cas-13037-86-0": "4-Heptyloxyphenol",</v>
      </c>
      <c r="E17" t="str">
        <f t="shared" si="1"/>
        <v>"cas-13037-86-0": "Weak",</v>
      </c>
    </row>
    <row r="18" spans="1:5">
      <c r="A18" s="4" t="s">
        <v>127</v>
      </c>
      <c r="B18" s="4" t="s">
        <v>128</v>
      </c>
      <c r="C18" s="4" t="s">
        <v>20</v>
      </c>
      <c r="D18" t="str">
        <f t="shared" si="0"/>
        <v>"cas-94-25-7": "4-Amino butylbenzoate",</v>
      </c>
      <c r="E18" t="str">
        <f t="shared" si="1"/>
        <v>"cas-94-25-7": "Weak",</v>
      </c>
    </row>
    <row r="19" spans="1:5">
      <c r="A19" s="4" t="s">
        <v>129</v>
      </c>
      <c r="B19" s="4" t="s">
        <v>130</v>
      </c>
      <c r="C19" s="4" t="s">
        <v>20</v>
      </c>
      <c r="D19" t="str">
        <f t="shared" si="0"/>
        <v>"cas-1085-12-7": "Heptyl p-hydroxybenzoate",</v>
      </c>
      <c r="E19" t="str">
        <f t="shared" si="1"/>
        <v>"cas-1085-12-7": "Weak",</v>
      </c>
    </row>
    <row r="20" spans="1:5">
      <c r="A20" s="4" t="s">
        <v>131</v>
      </c>
      <c r="B20" s="4" t="s">
        <v>132</v>
      </c>
      <c r="C20" s="4" t="s">
        <v>20</v>
      </c>
      <c r="D20" t="str">
        <f t="shared" si="0"/>
        <v>"cas-599-64-4": "p-Cumyl phenol",</v>
      </c>
      <c r="E20" t="str">
        <f t="shared" si="1"/>
        <v>"cas-599-64-4": "Weak",</v>
      </c>
    </row>
    <row r="21" spans="1:5">
      <c r="A21" s="4" t="s">
        <v>133</v>
      </c>
      <c r="B21" s="4" t="s">
        <v>134</v>
      </c>
      <c r="C21" s="4" t="s">
        <v>20</v>
      </c>
      <c r="D21" t="str">
        <f t="shared" si="0"/>
        <v>"cas-57-88-5": "Cholesterol",</v>
      </c>
      <c r="E21" t="str">
        <f t="shared" si="1"/>
        <v>"cas-57-88-5": "Weak",</v>
      </c>
    </row>
    <row r="22" spans="1:5">
      <c r="A22" s="4" t="s">
        <v>135</v>
      </c>
      <c r="B22" s="4" t="s">
        <v>136</v>
      </c>
      <c r="C22" s="4" t="s">
        <v>20</v>
      </c>
      <c r="D22" t="str">
        <f t="shared" si="0"/>
        <v>"cas-94-26-8": "n-Butyl 4-hydroxybenzoate",</v>
      </c>
      <c r="E22" t="str">
        <f t="shared" si="1"/>
        <v>"cas-94-26-8": "Weak",</v>
      </c>
    </row>
    <row r="23" spans="1:5">
      <c r="A23" s="4" t="s">
        <v>137</v>
      </c>
      <c r="B23" s="4" t="s">
        <v>138</v>
      </c>
      <c r="C23" s="4" t="s">
        <v>20</v>
      </c>
      <c r="D23" t="str">
        <f t="shared" si="0"/>
        <v>"cas-98-54-4": "4-tert-Butylphenol",</v>
      </c>
      <c r="E23" t="str">
        <f t="shared" si="1"/>
        <v>"cas-98-54-4": "Weak",</v>
      </c>
    </row>
    <row r="24" spans="1:5">
      <c r="A24" s="4" t="s">
        <v>139</v>
      </c>
      <c r="B24" s="4" t="s">
        <v>140</v>
      </c>
      <c r="C24" s="4" t="s">
        <v>20</v>
      </c>
      <c r="D24" t="str">
        <f t="shared" si="0"/>
        <v>"cas-58-22-0": "Testosterone",</v>
      </c>
      <c r="E24" t="str">
        <f t="shared" si="1"/>
        <v>"cas-58-22-0": "Weak",</v>
      </c>
    </row>
    <row r="25" spans="1:5">
      <c r="A25" s="4" t="s">
        <v>141</v>
      </c>
      <c r="B25" s="4" t="s">
        <v>142</v>
      </c>
      <c r="C25" s="4" t="s">
        <v>20</v>
      </c>
      <c r="D25" t="str">
        <f t="shared" si="0"/>
        <v>"cas-28034-99-3": "4-Chloro-4'-biphenylol",</v>
      </c>
      <c r="E25" t="str">
        <f t="shared" si="1"/>
        <v>"cas-28034-99-3": "Weak",</v>
      </c>
    </row>
    <row r="26" spans="1:5">
      <c r="A26" s="4" t="s">
        <v>143</v>
      </c>
      <c r="B26" s="4" t="s">
        <v>144</v>
      </c>
      <c r="C26" s="4" t="s">
        <v>20</v>
      </c>
      <c r="D26" t="str">
        <f t="shared" si="0"/>
        <v>"cas-50-22-6": "Corticosterone",</v>
      </c>
      <c r="E26" t="str">
        <f t="shared" si="1"/>
        <v>"cas-50-22-6": "Weak",</v>
      </c>
    </row>
    <row r="27" spans="1:5">
      <c r="A27" s="4" t="s">
        <v>145</v>
      </c>
      <c r="B27" s="4" t="s">
        <v>146</v>
      </c>
      <c r="C27" s="4" t="s">
        <v>20</v>
      </c>
      <c r="D27" t="str">
        <f t="shared" si="0"/>
        <v>"cas-94-18-8": "Benzyl 4-hydroxybenzoate",</v>
      </c>
      <c r="E27" t="str">
        <f t="shared" si="1"/>
        <v>"cas-94-18-8": "Weak",</v>
      </c>
    </row>
    <row r="28" spans="1:5">
      <c r="A28" s="4" t="s">
        <v>583</v>
      </c>
      <c r="B28" s="4" t="s">
        <v>148</v>
      </c>
      <c r="C28" s="4" t="s">
        <v>20</v>
      </c>
      <c r="D28" t="str">
        <f t="shared" si="0"/>
        <v>"cas-243-17-4": "2,3-Benzofluorene",</v>
      </c>
      <c r="E28" t="str">
        <f t="shared" si="1"/>
        <v>"cas-243-17-4": "Weak",</v>
      </c>
    </row>
    <row r="29" spans="1:5">
      <c r="A29" s="4" t="s">
        <v>149</v>
      </c>
      <c r="B29" s="4" t="s">
        <v>150</v>
      </c>
      <c r="C29" s="4" t="s">
        <v>20</v>
      </c>
      <c r="D29" t="str">
        <f t="shared" si="0"/>
        <v>"cas-53-45-2": "3-Deoxy-estrone",</v>
      </c>
      <c r="E29" t="str">
        <f t="shared" si="1"/>
        <v>"cas-53-45-2": "Weak",</v>
      </c>
    </row>
    <row r="30" spans="1:5">
      <c r="A30" s="4" t="s">
        <v>151</v>
      </c>
      <c r="B30" s="4" t="s">
        <v>152</v>
      </c>
      <c r="C30" s="4" t="s">
        <v>20</v>
      </c>
      <c r="D30" t="str">
        <f t="shared" si="0"/>
        <v>"cas-121-33-5": "Vanillin",</v>
      </c>
      <c r="E30" t="str">
        <f t="shared" si="1"/>
        <v>"cas-121-33-5": "Weak",</v>
      </c>
    </row>
    <row r="31" spans="1:5">
      <c r="A31" s="4" t="s">
        <v>153</v>
      </c>
      <c r="B31" s="4" t="s">
        <v>154</v>
      </c>
      <c r="C31" s="4" t="s">
        <v>20</v>
      </c>
      <c r="D31" t="str">
        <f t="shared" si="0"/>
        <v>"cas-80-46-6": "4-tert-Amylphenol",</v>
      </c>
      <c r="E31" t="str">
        <f t="shared" si="1"/>
        <v>"cas-80-46-6": "Weak",</v>
      </c>
    </row>
    <row r="32" spans="1:5">
      <c r="A32" s="4" t="s">
        <v>155</v>
      </c>
      <c r="B32" s="4" t="s">
        <v>156</v>
      </c>
      <c r="C32" s="4" t="s">
        <v>20</v>
      </c>
      <c r="D32" t="str">
        <f t="shared" si="0"/>
        <v>"cas-97-53-0": "Eugenol",</v>
      </c>
      <c r="E32" t="str">
        <f t="shared" si="1"/>
        <v>"cas-97-53-0": "Weak",</v>
      </c>
    </row>
    <row r="33" spans="1:5">
      <c r="A33" s="4" t="s">
        <v>584</v>
      </c>
      <c r="B33" s="4" t="s">
        <v>158</v>
      </c>
      <c r="C33" s="4" t="s">
        <v>20</v>
      </c>
      <c r="D33" t="str">
        <f t="shared" si="0"/>
        <v>"cas-50-29-3": "p,p'-DDT",</v>
      </c>
      <c r="E33" t="str">
        <f t="shared" si="1"/>
        <v>"cas-50-29-3": "Weak",</v>
      </c>
    </row>
    <row r="34" spans="1:5">
      <c r="A34" s="4" t="s">
        <v>159</v>
      </c>
      <c r="B34" s="4" t="s">
        <v>160</v>
      </c>
      <c r="C34" s="4" t="s">
        <v>20</v>
      </c>
      <c r="D34" t="str">
        <f t="shared" si="0"/>
        <v>"cas-80-05-7": "Bisphenol A",</v>
      </c>
      <c r="E34" t="str">
        <f t="shared" si="1"/>
        <v>"cas-80-05-7": "Weak",</v>
      </c>
    </row>
    <row r="35" spans="1:5">
      <c r="A35" s="4" t="s">
        <v>161</v>
      </c>
      <c r="B35" s="4" t="s">
        <v>162</v>
      </c>
      <c r="C35" s="4" t="s">
        <v>20</v>
      </c>
      <c r="D35" t="str">
        <f t="shared" si="0"/>
        <v>"cas-92-04-6": "2-Chloro-4-biphenylol",</v>
      </c>
      <c r="E35" t="str">
        <f t="shared" si="1"/>
        <v>"cas-92-04-6": "Weak",</v>
      </c>
    </row>
    <row r="36" spans="1:5">
      <c r="A36" s="4" t="s">
        <v>163</v>
      </c>
      <c r="B36" s="4" t="s">
        <v>164</v>
      </c>
      <c r="C36" s="4" t="s">
        <v>20</v>
      </c>
      <c r="D36" t="str">
        <f t="shared" si="0"/>
        <v>"cas-580-51-8": "3-Phenylphenol",</v>
      </c>
      <c r="E36" t="str">
        <f t="shared" si="1"/>
        <v>"cas-580-51-8": "Weak",</v>
      </c>
    </row>
    <row r="37" spans="1:5">
      <c r="A37" s="4" t="s">
        <v>165</v>
      </c>
      <c r="B37" s="4" t="s">
        <v>166</v>
      </c>
      <c r="C37" s="4" t="s">
        <v>20</v>
      </c>
      <c r="D37" t="str">
        <f t="shared" si="0"/>
        <v>"cas-6554-98-9": "Trans-4-hydroxystilbene",</v>
      </c>
      <c r="E37" t="str">
        <f t="shared" si="1"/>
        <v>"cas-6554-98-9": "Weak",</v>
      </c>
    </row>
    <row r="38" spans="1:5">
      <c r="A38" s="4" t="s">
        <v>167</v>
      </c>
      <c r="B38" s="4" t="s">
        <v>168</v>
      </c>
      <c r="C38" s="4" t="s">
        <v>20</v>
      </c>
      <c r="D38" t="str">
        <f t="shared" si="0"/>
        <v>"cas-103-16-2": "4-(Benzyloxyl)phenol",</v>
      </c>
      <c r="E38" t="str">
        <f t="shared" si="1"/>
        <v>"cas-103-16-2": "Weak",</v>
      </c>
    </row>
    <row r="39" spans="1:5">
      <c r="A39" s="4" t="s">
        <v>169</v>
      </c>
      <c r="B39" s="4" t="s">
        <v>170</v>
      </c>
      <c r="C39" s="4" t="s">
        <v>20</v>
      </c>
      <c r="D39" t="str">
        <f t="shared" si="0"/>
        <v>"cas-94-13-3": "n-Propyl 4-hydroxybenzoate",</v>
      </c>
      <c r="E39" t="str">
        <f t="shared" si="1"/>
        <v>"cas-94-13-3": "Weak",</v>
      </c>
    </row>
    <row r="40" spans="1:5">
      <c r="A40" s="4" t="s">
        <v>171</v>
      </c>
      <c r="B40" s="4" t="s">
        <v>172</v>
      </c>
      <c r="C40" s="4" t="s">
        <v>20</v>
      </c>
      <c r="D40" t="str">
        <f t="shared" si="0"/>
        <v>"cas-58-72-0": "Triphenylethylene",</v>
      </c>
      <c r="E40" t="str">
        <f t="shared" si="1"/>
        <v>"cas-58-72-0": "Weak",</v>
      </c>
    </row>
    <row r="41" spans="1:5">
      <c r="A41" s="4" t="s">
        <v>173</v>
      </c>
      <c r="B41" s="4" t="s">
        <v>174</v>
      </c>
      <c r="C41" s="4" t="s">
        <v>20</v>
      </c>
      <c r="D41" t="str">
        <f t="shared" si="0"/>
        <v>"cas-83-46-5": "Sitosterol",</v>
      </c>
      <c r="E41" t="str">
        <f t="shared" si="1"/>
        <v>"cas-83-46-5": "Weak",</v>
      </c>
    </row>
    <row r="42" spans="1:5">
      <c r="A42" s="4" t="s">
        <v>585</v>
      </c>
      <c r="B42" s="4" t="s">
        <v>176</v>
      </c>
      <c r="C42" s="4" t="s">
        <v>20</v>
      </c>
      <c r="D42" t="str">
        <f t="shared" si="0"/>
        <v>"cas-611-99-4": "4,4'-Dihydoxy-benzophenone",</v>
      </c>
      <c r="E42" t="str">
        <f t="shared" si="1"/>
        <v>"cas-611-99-4": "Weak",</v>
      </c>
    </row>
    <row r="43" spans="1:5">
      <c r="A43" s="4" t="s">
        <v>177</v>
      </c>
      <c r="B43" s="4" t="s">
        <v>178</v>
      </c>
      <c r="C43" s="4" t="s">
        <v>20</v>
      </c>
      <c r="D43" t="str">
        <f t="shared" si="0"/>
        <v>"cas-99-71-8": "4-sec-Butylphenol",</v>
      </c>
      <c r="E43" t="str">
        <f t="shared" si="1"/>
        <v>"cas-99-71-8": "Weak",</v>
      </c>
    </row>
    <row r="44" spans="1:5">
      <c r="A44" s="4" t="s">
        <v>179</v>
      </c>
      <c r="B44" s="4" t="s">
        <v>180</v>
      </c>
      <c r="C44" s="4" t="s">
        <v>20</v>
      </c>
      <c r="D44" t="str">
        <f t="shared" si="0"/>
        <v>"cas-126-00-1": "Diphenolic acid",</v>
      </c>
      <c r="E44" t="str">
        <f t="shared" si="1"/>
        <v>"cas-126-00-1": "Weak",</v>
      </c>
    </row>
    <row r="45" spans="1:5">
      <c r="A45" s="4" t="s">
        <v>586</v>
      </c>
      <c r="B45" s="4" t="s">
        <v>182</v>
      </c>
      <c r="C45" s="4" t="s">
        <v>20</v>
      </c>
      <c r="D45" t="str">
        <f t="shared" si="0"/>
        <v>"cas-789-02-6": "o,p'-DDT",</v>
      </c>
      <c r="E45" t="str">
        <f t="shared" si="1"/>
        <v>"cas-789-02-6": "Weak",</v>
      </c>
    </row>
    <row r="46" spans="1:5">
      <c r="A46" s="4" t="s">
        <v>183</v>
      </c>
      <c r="B46" s="4" t="s">
        <v>184</v>
      </c>
      <c r="C46" s="4" t="s">
        <v>20</v>
      </c>
      <c r="D46" t="str">
        <f t="shared" si="0"/>
        <v>"cas-57-83-0": "Progesterone",</v>
      </c>
      <c r="E46" t="str">
        <f t="shared" si="1"/>
        <v>"cas-57-83-0": "Weak",</v>
      </c>
    </row>
    <row r="47" spans="1:5">
      <c r="A47" s="4" t="s">
        <v>185</v>
      </c>
      <c r="B47" s="4" t="s">
        <v>186</v>
      </c>
      <c r="C47" s="4" t="s">
        <v>31</v>
      </c>
      <c r="D47" t="str">
        <f t="shared" si="0"/>
        <v>"cas-1229-24-9": "6a-OH-Estradiol",</v>
      </c>
      <c r="E47" t="str">
        <f t="shared" si="1"/>
        <v>"cas-1229-24-9": "Moderate",</v>
      </c>
    </row>
    <row r="48" spans="1:5">
      <c r="A48" s="4" t="s">
        <v>188</v>
      </c>
      <c r="B48" s="4" t="s">
        <v>189</v>
      </c>
      <c r="C48" s="4" t="s">
        <v>31</v>
      </c>
      <c r="D48" t="str">
        <f t="shared" si="0"/>
        <v>"cas-2529-64-8": "3-Deoxyestradiol",</v>
      </c>
      <c r="E48" t="str">
        <f t="shared" si="1"/>
        <v>"cas-2529-64-8": "Moderate",</v>
      </c>
    </row>
    <row r="49" spans="1:5">
      <c r="A49" s="4" t="s">
        <v>587</v>
      </c>
      <c r="B49" s="4" t="s">
        <v>191</v>
      </c>
      <c r="C49" s="4" t="s">
        <v>31</v>
      </c>
      <c r="D49" t="str">
        <f t="shared" si="0"/>
        <v>"cas-65118-81-2": "a,a-Dimethyl-b-ethyl allenolic acid",</v>
      </c>
      <c r="E49" t="str">
        <f t="shared" si="1"/>
        <v>"cas-65118-81-2": "Moderate",</v>
      </c>
    </row>
    <row r="50" spans="1:5">
      <c r="A50" s="4" t="s">
        <v>192</v>
      </c>
      <c r="B50" s="4" t="s">
        <v>193</v>
      </c>
      <c r="C50" s="4" t="s">
        <v>31</v>
      </c>
      <c r="D50" t="str">
        <f t="shared" si="0"/>
        <v>"cas-1845-11-0": "Nafoxidine",</v>
      </c>
      <c r="E50" t="str">
        <f t="shared" si="1"/>
        <v>"cas-1845-11-0": "Moderate",</v>
      </c>
    </row>
    <row r="51" spans="1:5">
      <c r="A51" s="4" t="s">
        <v>194</v>
      </c>
      <c r="B51" s="4" t="s">
        <v>195</v>
      </c>
      <c r="C51" s="4" t="s">
        <v>31</v>
      </c>
      <c r="D51" t="str">
        <f t="shared" si="0"/>
        <v>"cas-603-45-2": "Aurin",</v>
      </c>
      <c r="E51" t="str">
        <f t="shared" si="1"/>
        <v>"cas-603-45-2": "Moderate",</v>
      </c>
    </row>
    <row r="52" spans="1:5">
      <c r="A52" s="4" t="s">
        <v>588</v>
      </c>
      <c r="B52" s="4" t="s">
        <v>197</v>
      </c>
      <c r="C52" s="4" t="s">
        <v>31</v>
      </c>
      <c r="D52" t="str">
        <f t="shared" si="0"/>
        <v>"cas-5394-98-9": "2,2',4,4'-Tetrahydroxybenzil",</v>
      </c>
      <c r="E52" t="str">
        <f t="shared" si="1"/>
        <v>"cas-5394-98-9": "Moderate",</v>
      </c>
    </row>
    <row r="53" spans="1:5">
      <c r="A53" s="4" t="s">
        <v>198</v>
      </c>
      <c r="B53" s="4" t="s">
        <v>199</v>
      </c>
      <c r="C53" s="4" t="s">
        <v>31</v>
      </c>
      <c r="D53" t="str">
        <f t="shared" si="0"/>
        <v>"cas-77-40-7": "Bisphenol B",</v>
      </c>
      <c r="E53" t="str">
        <f t="shared" si="1"/>
        <v>"cas-77-40-7": "Moderate",</v>
      </c>
    </row>
    <row r="54" spans="1:5">
      <c r="A54" s="4" t="s">
        <v>589</v>
      </c>
      <c r="B54" s="4" t="s">
        <v>201</v>
      </c>
      <c r="C54" s="4" t="s">
        <v>31</v>
      </c>
      <c r="D54" t="str">
        <f t="shared" si="0"/>
        <v>"cas-659-22-3": "4,4'-Dihydroxystilbene",</v>
      </c>
      <c r="E54" t="str">
        <f t="shared" si="1"/>
        <v>"cas-659-22-3": "Moderate",</v>
      </c>
    </row>
    <row r="55" spans="1:5">
      <c r="A55" s="4" t="s">
        <v>202</v>
      </c>
      <c r="B55" s="4" t="s">
        <v>203</v>
      </c>
      <c r="C55" s="4" t="s">
        <v>31</v>
      </c>
      <c r="D55" t="str">
        <f t="shared" si="0"/>
        <v>"cas-140-66-9": "4-t-Octylphenol",</v>
      </c>
      <c r="E55" t="str">
        <f t="shared" si="1"/>
        <v>"cas-140-66-9": "Moderate",</v>
      </c>
    </row>
    <row r="56" spans="1:5">
      <c r="A56" s="4" t="s">
        <v>204</v>
      </c>
      <c r="B56" s="4" t="s">
        <v>205</v>
      </c>
      <c r="C56" s="4" t="s">
        <v>31</v>
      </c>
      <c r="D56" t="str">
        <f t="shared" si="0"/>
        <v>"cas-25154-52-3": "Nonylphenol",</v>
      </c>
      <c r="E56" t="str">
        <f t="shared" si="1"/>
        <v>"cas-25154-52-3": "Moderate",</v>
      </c>
    </row>
    <row r="57" spans="1:5">
      <c r="A57" s="4" t="s">
        <v>206</v>
      </c>
      <c r="B57" s="4" t="s">
        <v>207</v>
      </c>
      <c r="C57" s="4" t="s">
        <v>31</v>
      </c>
      <c r="D57" t="str">
        <f t="shared" si="0"/>
        <v>"cas-2971-36-0": "HPTE",</v>
      </c>
      <c r="E57" t="str">
        <f t="shared" si="1"/>
        <v>"cas-2971-36-0": "Moderate",</v>
      </c>
    </row>
    <row r="58" spans="1:5">
      <c r="A58" s="4" t="s">
        <v>208</v>
      </c>
      <c r="B58" s="4" t="s">
        <v>209</v>
      </c>
      <c r="C58" s="4" t="s">
        <v>31</v>
      </c>
      <c r="D58" t="str">
        <f t="shared" si="0"/>
        <v>"cas-500-38-9": "Nordihydroguaiaretic acid",</v>
      </c>
      <c r="E58" t="str">
        <f t="shared" si="1"/>
        <v>"cas-500-38-9": "Moderate",</v>
      </c>
    </row>
    <row r="59" spans="1:5">
      <c r="A59" s="4" t="s">
        <v>210</v>
      </c>
      <c r="B59" s="4" t="s">
        <v>211</v>
      </c>
      <c r="C59" s="4" t="s">
        <v>31</v>
      </c>
      <c r="D59" t="str">
        <f t="shared" si="0"/>
        <v>"cas-3434-79-5": "3-Methyl-estriol",</v>
      </c>
      <c r="E59" t="str">
        <f t="shared" si="1"/>
        <v>"cas-3434-79-5": "Moderate",</v>
      </c>
    </row>
    <row r="60" spans="1:5">
      <c r="A60" s="4" t="s">
        <v>212</v>
      </c>
      <c r="B60" s="4" t="s">
        <v>213</v>
      </c>
      <c r="C60" s="4" t="s">
        <v>31</v>
      </c>
      <c r="D60" t="str">
        <f t="shared" si="0"/>
        <v>"cas-68-23-5": "Norethynodrel",</v>
      </c>
      <c r="E60" t="str">
        <f t="shared" si="1"/>
        <v>"cas-68-23-5": "Moderate",</v>
      </c>
    </row>
    <row r="61" spans="1:5">
      <c r="A61" s="4" t="s">
        <v>214</v>
      </c>
      <c r="B61" s="4" t="s">
        <v>215</v>
      </c>
      <c r="C61" s="4" t="s">
        <v>31</v>
      </c>
      <c r="D61" t="str">
        <f t="shared" si="0"/>
        <v>"cas-911-45-5": "Clomiphene",</v>
      </c>
      <c r="E61" t="str">
        <f t="shared" si="1"/>
        <v>"cas-911-45-5": "Moderate",</v>
      </c>
    </row>
    <row r="62" spans="1:5">
      <c r="A62" s="4" t="s">
        <v>590</v>
      </c>
      <c r="B62" s="4" t="s">
        <v>217</v>
      </c>
      <c r="C62" s="4" t="s">
        <v>31</v>
      </c>
      <c r="D62" t="str">
        <f t="shared" si="0"/>
        <v>"cas-6052-84-2": "4,4'-(1,2-Ethanediyl)bisphenol",</v>
      </c>
      <c r="E62" t="str">
        <f t="shared" si="1"/>
        <v>"cas-6052-84-2": "Moderate",</v>
      </c>
    </row>
    <row r="63" spans="1:5">
      <c r="A63" s="4" t="s">
        <v>591</v>
      </c>
      <c r="B63" s="4" t="s">
        <v>219</v>
      </c>
      <c r="C63" s="4" t="s">
        <v>31</v>
      </c>
      <c r="D63" t="str">
        <f t="shared" si="0"/>
        <v>"cas-53905-28-5": "2,5-Dichloro-4'-biphenylol",</v>
      </c>
      <c r="E63" t="str">
        <f t="shared" si="1"/>
        <v>"cas-53905-28-5": "Moderate",</v>
      </c>
    </row>
    <row r="64" spans="1:5">
      <c r="A64" s="4" t="s">
        <v>220</v>
      </c>
      <c r="B64" s="4" t="s">
        <v>221</v>
      </c>
      <c r="C64" s="4" t="s">
        <v>31</v>
      </c>
      <c r="D64" t="str">
        <f t="shared" si="0"/>
        <v>"cas-77-09-8": "Phenolphthalein",</v>
      </c>
      <c r="E64" t="str">
        <f t="shared" si="1"/>
        <v>"cas-77-09-8": "Moderate",</v>
      </c>
    </row>
    <row r="65" spans="1:5">
      <c r="A65" s="4" t="s">
        <v>222</v>
      </c>
      <c r="B65" s="4" t="s">
        <v>223</v>
      </c>
      <c r="C65" s="4" t="s">
        <v>31</v>
      </c>
      <c r="D65" t="str">
        <f t="shared" si="0"/>
        <v>"cas-28463-03-8": "Monohydroxymethoxychlor",</v>
      </c>
      <c r="E65" t="str">
        <f t="shared" si="1"/>
        <v>"cas-28463-03-8": "Moderate",</v>
      </c>
    </row>
    <row r="66" spans="1:5">
      <c r="A66" s="4" t="s">
        <v>592</v>
      </c>
      <c r="B66" s="4" t="s">
        <v>225</v>
      </c>
      <c r="C66" s="4" t="s">
        <v>31</v>
      </c>
      <c r="D66" t="str">
        <f t="shared" ref="D66:D74" si="2">"""" &amp; "cas-" &amp; B66 &amp; """: """ &amp; A66 &amp; ""","</f>
        <v>"cas-67651-34-7": "2,3,4,5-Tetrachloro-4'-biphenylol",</v>
      </c>
      <c r="E66" t="str">
        <f t="shared" ref="E66:E74" si="3">"""" &amp; "cas-" &amp; B66 &amp; """: """ &amp; C66 &amp; ""","</f>
        <v>"cas-67651-34-7": "Moderate",</v>
      </c>
    </row>
    <row r="67" spans="1:5">
      <c r="A67" s="4" t="s">
        <v>226</v>
      </c>
      <c r="B67" s="4" t="s">
        <v>227</v>
      </c>
      <c r="C67" s="4" t="s">
        <v>31</v>
      </c>
      <c r="D67" t="str">
        <f t="shared" si="2"/>
        <v>"cas-5153-25-3": "2-Ethylhexyl-4-hydroxybenzoate",</v>
      </c>
      <c r="E67" t="str">
        <f t="shared" si="3"/>
        <v>"cas-5153-25-3": "Moderate",</v>
      </c>
    </row>
    <row r="68" spans="1:5">
      <c r="A68" s="4" t="s">
        <v>228</v>
      </c>
      <c r="B68" s="4" t="s">
        <v>229</v>
      </c>
      <c r="C68" s="4" t="s">
        <v>31</v>
      </c>
      <c r="D68" t="str">
        <f t="shared" si="2"/>
        <v>"cas-143-50-0": "Kepone",</v>
      </c>
      <c r="E68" t="str">
        <f t="shared" si="3"/>
        <v>"cas-143-50-0": "Moderate",</v>
      </c>
    </row>
    <row r="69" spans="1:5">
      <c r="A69" s="4" t="s">
        <v>230</v>
      </c>
      <c r="B69" s="4" t="s">
        <v>231</v>
      </c>
      <c r="C69" s="4" t="s">
        <v>31</v>
      </c>
      <c r="D69" t="str">
        <f t="shared" si="2"/>
        <v>"cas-7773-34-4": "Diethylstilbestrol dimethyl ether",</v>
      </c>
      <c r="E69" t="str">
        <f t="shared" si="3"/>
        <v>"cas-7773-34-4": "Moderate",</v>
      </c>
    </row>
    <row r="70" spans="1:5">
      <c r="A70" s="4" t="s">
        <v>232</v>
      </c>
      <c r="B70" s="4" t="s">
        <v>233</v>
      </c>
      <c r="C70" s="4" t="s">
        <v>31</v>
      </c>
      <c r="D70" t="str">
        <f t="shared" si="2"/>
        <v>"cas-571-20-0": "3-b-Androstanediol",</v>
      </c>
      <c r="E70" t="str">
        <f t="shared" si="3"/>
        <v>"cas-571-20-0": "Moderate",</v>
      </c>
    </row>
    <row r="71" spans="1:5">
      <c r="A71" s="4" t="s">
        <v>234</v>
      </c>
      <c r="B71" s="4" t="s">
        <v>235</v>
      </c>
      <c r="C71" s="4" t="s">
        <v>31</v>
      </c>
      <c r="D71" t="str">
        <f t="shared" si="2"/>
        <v>"cas-104-43-8": "4-Dodecylphenol",</v>
      </c>
      <c r="E71" t="str">
        <f t="shared" si="3"/>
        <v>"cas-104-43-8": "Moderate",</v>
      </c>
    </row>
    <row r="72" spans="1:5">
      <c r="A72" s="4" t="s">
        <v>236</v>
      </c>
      <c r="B72" s="4" t="s">
        <v>237</v>
      </c>
      <c r="C72" s="4" t="s">
        <v>31</v>
      </c>
      <c r="D72" t="str">
        <f t="shared" si="2"/>
        <v>"cas-75938-34-0": "Monohydroxymethoxychlor olefin",</v>
      </c>
      <c r="E72" t="str">
        <f t="shared" si="3"/>
        <v>"cas-75938-34-0": "Moderate",</v>
      </c>
    </row>
    <row r="73" spans="1:5">
      <c r="A73" s="4" t="s">
        <v>593</v>
      </c>
      <c r="B73" s="4" t="s">
        <v>239</v>
      </c>
      <c r="C73" s="4" t="s">
        <v>31</v>
      </c>
      <c r="D73" t="str">
        <f t="shared" si="2"/>
        <v>"cas-3601-97-6": "3-OH-Estra-1,3,5(10)-trien-16-one",</v>
      </c>
      <c r="E73" t="str">
        <f t="shared" si="3"/>
        <v>"cas-3601-97-6": "Moderate",</v>
      </c>
    </row>
    <row r="74" spans="1:5">
      <c r="A74" s="4" t="s">
        <v>240</v>
      </c>
      <c r="B74" s="4" t="s">
        <v>241</v>
      </c>
      <c r="C74" s="4" t="s">
        <v>31</v>
      </c>
      <c r="D74" t="str">
        <f t="shared" si="2"/>
        <v>"cas-5108-94-1": "16b-OH-16-Methyl-3-methyl-estradiol",</v>
      </c>
      <c r="E74" t="str">
        <f t="shared" si="3"/>
        <v>"cas-5108-94-1": "Moderate",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A4C29E6CAD944983D633CAE7C62A81" ma:contentTypeVersion="20" ma:contentTypeDescription="Create a new document." ma:contentTypeScope="" ma:versionID="bdd16f1bb3fe24a4382dd8df5c975278">
  <xsd:schema xmlns:xsd="http://www.w3.org/2001/XMLSchema" xmlns:xs="http://www.w3.org/2001/XMLSchema" xmlns:p="http://schemas.microsoft.com/office/2006/metadata/properties" xmlns:ns2="f5fba677-c2d3-47e7-84fc-40c32fc1e541" xmlns:ns3="482e514b-35cb-4cbb-9840-052ed835cae8" xmlns:ns4="ab06a5aa-8e31-4bdb-9b13-38c58a92ec8a" targetNamespace="http://schemas.microsoft.com/office/2006/metadata/properties" ma:root="true" ma:fieldsID="e3df14ed1efc86597deb49e0ba385f67" ns2:_="" ns3:_="" ns4:_="">
    <xsd:import namespace="f5fba677-c2d3-47e7-84fc-40c32fc1e541"/>
    <xsd:import namespace="482e514b-35cb-4cbb-9840-052ed835cae8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Imag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fba677-c2d3-47e7-84fc-40c32fc1e5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Image" ma:index="26" nillable="true" ma:displayName="Image" ma:format="Thumbnail" ma:internalName="Image">
      <xsd:simpleType>
        <xsd:restriction base="dms:Unknow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514b-35cb-4cbb-9840-052ed835cae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1ad8b618-4ac3-4659-908c-25718e530fdd}" ma:internalName="TaxCatchAll" ma:showField="CatchAllData" ma:web="482e514b-35cb-4cbb-9840-052ed835ca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ge xmlns="f5fba677-c2d3-47e7-84fc-40c32fc1e541" xsi:nil="true"/>
    <lcf76f155ced4ddcb4097134ff3c332f xmlns="f5fba677-c2d3-47e7-84fc-40c32fc1e541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Props1.xml><?xml version="1.0" encoding="utf-8"?>
<ds:datastoreItem xmlns:ds="http://schemas.openxmlformats.org/officeDocument/2006/customXml" ds:itemID="{5112B511-28D6-4B23-A25F-B99727EAA091}"/>
</file>

<file path=customXml/itemProps2.xml><?xml version="1.0" encoding="utf-8"?>
<ds:datastoreItem xmlns:ds="http://schemas.openxmlformats.org/officeDocument/2006/customXml" ds:itemID="{45765480-A900-4048-A0F1-2855FBBCE848}"/>
</file>

<file path=customXml/itemProps3.xml><?xml version="1.0" encoding="utf-8"?>
<ds:datastoreItem xmlns:ds="http://schemas.openxmlformats.org/officeDocument/2006/customXml" ds:itemID="{9ACDACD4-D112-4F6D-98E9-4BEBC1431CC5}"/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Maya Faber</dc:creator>
  <cp:keywords/>
  <dc:description/>
  <cp:lastModifiedBy/>
  <cp:revision/>
  <dcterms:created xsi:type="dcterms:W3CDTF">2026-05-13T21:59:54Z</dcterms:created>
  <dcterms:modified xsi:type="dcterms:W3CDTF">2026-09-14T18:23:34Z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0x01010043A4C29E6CAD944983D633CAE7C62A81</vt:lpwstr>
  </property>
  <property fmtid="{D5CDD505-2E9C-101B-9397-08002B2CF9AE}" pid="3" name="MediaServiceImageTags">
    <vt:lpwstr/>
  </property>
</Properties>
</file>